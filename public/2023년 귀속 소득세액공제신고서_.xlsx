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updateLinks="never"/>
  <mc:AlternateContent xmlns:mc="http://schemas.openxmlformats.org/markup-compatibility/2006">
    <mc:Choice Requires="x15">
      <x15ac:absPath xmlns:x15ac="http://schemas.microsoft.com/office/spreadsheetml/2010/11/ac" url="G:\--+ 관리\Upload -- 세무사무소\"/>
    </mc:Choice>
  </mc:AlternateContent>
  <xr:revisionPtr revIDLastSave="0" documentId="13_ncr:1_{2B536CB5-D0C0-4429-BEAD-EF4F5B7B54F3}" xr6:coauthVersionLast="47" xr6:coauthVersionMax="47" xr10:uidLastSave="{00000000-0000-0000-0000-000000000000}"/>
  <bookViews>
    <workbookView xWindow="-120" yWindow="-120" windowWidth="27660" windowHeight="16440" activeTab="1" xr2:uid="{00000000-000D-0000-FFFF-FFFF00000000}"/>
  </bookViews>
  <sheets>
    <sheet name="안내문" sheetId="2" r:id="rId1"/>
    <sheet name="2023년 소득공제신고서" sheetId="1" r:id="rId2"/>
  </sheets>
  <externalReferences>
    <externalReference r:id="rId3"/>
  </externalReferences>
  <definedNames>
    <definedName name="_xlnm.Print_Area" localSheetId="1">'2023년 소득공제신고서'!$A$1:$AP$332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O17" i="1" l="1"/>
  <c r="AM17" i="1"/>
  <c r="AJ17" i="1"/>
  <c r="AG17" i="1"/>
  <c r="AE17" i="1"/>
  <c r="AC17" i="1"/>
  <c r="V132" i="1"/>
  <c r="V129" i="1"/>
  <c r="V126" i="1"/>
  <c r="AE299" i="1"/>
  <c r="AE298" i="1"/>
  <c r="K299" i="1"/>
  <c r="K298" i="1"/>
  <c r="V130" i="1"/>
  <c r="V128" i="1"/>
  <c r="V127" i="1"/>
  <c r="V124" i="1"/>
  <c r="V123" i="1"/>
  <c r="AB100" i="1"/>
  <c r="AB99" i="1"/>
  <c r="AB98" i="1"/>
  <c r="AB97" i="1"/>
  <c r="AB96" i="1"/>
  <c r="AB95" i="1"/>
  <c r="AM146" i="1" l="1"/>
  <c r="AE146" i="1"/>
  <c r="V146" i="1"/>
  <c r="AM137" i="1"/>
  <c r="AE137" i="1"/>
  <c r="V137" i="1"/>
  <c r="AM131" i="1"/>
  <c r="AE131" i="1"/>
  <c r="V131" i="1"/>
  <c r="AM125" i="1"/>
  <c r="AE125" i="1"/>
  <c r="V125" i="1"/>
  <c r="AM122" i="1"/>
  <c r="AE122" i="1"/>
  <c r="V122" i="1"/>
  <c r="AB101" i="1"/>
  <c r="AM94" i="1"/>
  <c r="AB94" i="1"/>
  <c r="AM84" i="1"/>
  <c r="AB84" i="1"/>
  <c r="AM78" i="1"/>
  <c r="AB78" i="1"/>
  <c r="AM62" i="1"/>
  <c r="AB62" i="1"/>
  <c r="AM57" i="1"/>
  <c r="AB57" i="1"/>
  <c r="B33" i="1"/>
  <c r="B31" i="1"/>
  <c r="AC16" i="1"/>
  <c r="AB17" i="1"/>
  <c r="Z17" i="1"/>
  <c r="X17" i="1"/>
  <c r="V17" i="1"/>
  <c r="T17" i="1"/>
  <c r="X156" i="1" l="1"/>
  <c r="AD320" i="1" l="1"/>
  <c r="AD319" i="1"/>
  <c r="AD318" i="1"/>
  <c r="C18" i="1"/>
  <c r="AO16" i="1"/>
  <c r="AM16" i="1"/>
  <c r="AJ16" i="1"/>
  <c r="AG16" i="1"/>
  <c r="AE16" i="1"/>
  <c r="AB16" i="1"/>
  <c r="Z16" i="1"/>
  <c r="X16" i="1"/>
  <c r="V16" i="1"/>
  <c r="T16" i="1"/>
</calcChain>
</file>

<file path=xl/sharedStrings.xml><?xml version="1.0" encoding="utf-8"?>
<sst xmlns="http://schemas.openxmlformats.org/spreadsheetml/2006/main" count="644" uniqueCount="537">
  <si>
    <t xml:space="preserve">  부분은 필수 기재사항</t>
    <phoneticPr fontId="4" type="noConversion"/>
  </si>
  <si>
    <t>(제1쪽)</t>
    <phoneticPr fontId="4" type="noConversion"/>
  </si>
  <si>
    <t xml:space="preserve">  ※ 근로소득자는 신고서에 소득ㆍ세액 공제 증명서류를 첨부하여 원천징수의무자(소속 회사 등)에게 제출하며, 원천징수의무자는 신고서 및 첨부서류를 
     확인하여 근로소득 세액계산을 하고 근로소득자에게 즉시 근로소득원천징수영수증을 발급해야 합니다. 
     연말정산 시 근로소득자에게 환급이 발생하는 경우 원천징수의무자는 근로소득자에게 환급세액을 지급해야 합니다.</t>
    <phoneticPr fontId="4" type="noConversion"/>
  </si>
  <si>
    <t>소득자 성명</t>
  </si>
  <si>
    <t>주민등록번호</t>
  </si>
  <si>
    <t>-</t>
  </si>
  <si>
    <t>근무처 명칭</t>
  </si>
  <si>
    <t>사업자등록번호</t>
  </si>
  <si>
    <t>세대주 여부</t>
  </si>
  <si>
    <t>국 적</t>
  </si>
  <si>
    <t xml:space="preserve">               ( 국적 코드:        )</t>
    <phoneticPr fontId="4" type="noConversion"/>
  </si>
  <si>
    <t>근무기간</t>
  </si>
  <si>
    <t>감면기간</t>
  </si>
  <si>
    <t>거주구분</t>
  </si>
  <si>
    <t>거주지국</t>
  </si>
  <si>
    <t xml:space="preserve">                   ( 거주지국 코드:      )</t>
    <phoneticPr fontId="4" type="noConversion"/>
  </si>
  <si>
    <t>인적공제 항목 변동 여부</t>
    <phoneticPr fontId="4" type="noConversion"/>
  </si>
  <si>
    <t>분납신청 여부</t>
  </si>
  <si>
    <t>[   ]신청   [   ]미신청</t>
    <phoneticPr fontId="4" type="noConversion"/>
  </si>
  <si>
    <t>원천징수세액 선택</t>
  </si>
  <si>
    <t>[  ]120% [  ]100% [  ]80%</t>
    <phoneticPr fontId="4" type="noConversion"/>
  </si>
  <si>
    <t>※ 근로소득자 본인이 원하는 경우 매월 원천징수하는 세액을 
 법령상 세액의 120%, 100%, 80% 중 선택할 수 있습니다.</t>
    <phoneticPr fontId="4" type="noConversion"/>
  </si>
  <si>
    <t>Ⅰ. 인적 공제 및 소득·세액공제 명세</t>
    <phoneticPr fontId="4" type="noConversion"/>
  </si>
  <si>
    <t>인적공제 항목</t>
  </si>
  <si>
    <t>각종 소득공제ㆍ세액공제 항목</t>
    <phoneticPr fontId="4" type="noConversion"/>
  </si>
  <si>
    <t>관계코드</t>
  </si>
  <si>
    <t>성 명</t>
  </si>
  <si>
    <t>소득금액
기준
(백만원)
초과여부</t>
    <phoneticPr fontId="4" type="noConversion"/>
  </si>
  <si>
    <t>기본공제</t>
  </si>
  <si>
    <t>경로
우대</t>
    <phoneticPr fontId="4" type="noConversion"/>
  </si>
  <si>
    <t>출산
입양</t>
    <phoneticPr fontId="4" type="noConversion"/>
  </si>
  <si>
    <t>자료
구분</t>
    <phoneticPr fontId="4" type="noConversion"/>
  </si>
  <si>
    <t>보험료</t>
  </si>
  <si>
    <t>의료비</t>
    <phoneticPr fontId="4" type="noConversion"/>
  </si>
  <si>
    <t>교육비</t>
  </si>
  <si>
    <t>내/외
국인</t>
    <phoneticPr fontId="4" type="noConversion"/>
  </si>
  <si>
    <t>부녀자</t>
  </si>
  <si>
    <t>한부모</t>
  </si>
  <si>
    <t>장애인</t>
  </si>
  <si>
    <t>자녀</t>
  </si>
  <si>
    <t>건강</t>
    <phoneticPr fontId="4" type="noConversion"/>
  </si>
  <si>
    <t>고용</t>
    <phoneticPr fontId="4" type="noConversion"/>
  </si>
  <si>
    <t>보장성</t>
    <phoneticPr fontId="4" type="noConversion"/>
  </si>
  <si>
    <t>장애인
전용
보장성</t>
    <phoneticPr fontId="4" type="noConversion"/>
  </si>
  <si>
    <t>일반</t>
    <phoneticPr fontId="4" type="noConversion"/>
  </si>
  <si>
    <t>미숙아
선천성
이상아</t>
    <phoneticPr fontId="4" type="noConversion"/>
  </si>
  <si>
    <t>난임
시술비</t>
    <phoneticPr fontId="4" type="noConversion"/>
  </si>
  <si>
    <t>65세이상장애인
건강보험
산정특례자</t>
    <phoneticPr fontId="4" type="noConversion"/>
  </si>
  <si>
    <t>실손의료
보험금</t>
    <phoneticPr fontId="4" type="noConversion"/>
  </si>
  <si>
    <t>일반</t>
    <phoneticPr fontId="4" type="noConversion"/>
  </si>
  <si>
    <t>장애인</t>
    <phoneticPr fontId="4" type="noConversion"/>
  </si>
  <si>
    <t>인적공제 항목에 해당
하는 인원수를 적습니다.</t>
    <phoneticPr fontId="4" type="noConversion"/>
  </si>
  <si>
    <t>국세청계</t>
    <phoneticPr fontId="4" type="noConversion"/>
  </si>
  <si>
    <t>기타 계</t>
    <phoneticPr fontId="4" type="noConversion"/>
  </si>
  <si>
    <t>○</t>
    <phoneticPr fontId="4" type="noConversion"/>
  </si>
  <si>
    <t>국세청</t>
  </si>
  <si>
    <t>(근로자 본인)</t>
    <phoneticPr fontId="4" type="noConversion"/>
  </si>
  <si>
    <t>기타</t>
  </si>
  <si>
    <t>-</t>
    <phoneticPr fontId="4" type="noConversion"/>
  </si>
  <si>
    <t>-</t>
    <phoneticPr fontId="4" type="noConversion"/>
  </si>
  <si>
    <t>각종 소득공제ㆍ세액공제 항목</t>
    <phoneticPr fontId="4" type="noConversion"/>
  </si>
  <si>
    <t>성명</t>
    <phoneticPr fontId="4" type="noConversion"/>
  </si>
  <si>
    <t>신용카드등 사용액</t>
  </si>
  <si>
    <t>기부금</t>
    <phoneticPr fontId="4" type="noConversion"/>
  </si>
  <si>
    <t>신용카드</t>
  </si>
  <si>
    <t>직불카드등</t>
  </si>
  <si>
    <t>현금영수증</t>
  </si>
  <si>
    <t>도서공연사용분
(총급여 7천만원
이하자만 기재)</t>
    <phoneticPr fontId="4" type="noConversion"/>
  </si>
  <si>
    <t>전통시장사용분</t>
  </si>
  <si>
    <t>국세청 계</t>
    <phoneticPr fontId="4" type="noConversion"/>
  </si>
  <si>
    <t>국세청 계</t>
    <phoneticPr fontId="4" type="noConversion"/>
  </si>
  <si>
    <t>국세청 계</t>
    <phoneticPr fontId="4" type="noConversion"/>
  </si>
  <si>
    <t>유의사항</t>
  </si>
  <si>
    <t>1. "인적공제 항목 변동 여부"란에는 해당 항목에 "√"표시합니다(인적공제 항목이 전년과 동일한 경우에는 주민등록표등본을 제출하지 않습니다).</t>
    <phoneticPr fontId="4" type="noConversion"/>
  </si>
  <si>
    <t>2. 관계코드</t>
  </si>
  <si>
    <t xml:space="preserve">  * 관계코드 5: 해당 직계비속과 그 배우자가 장애인인 경우 그 배우자를 말하며, 관계코드 4~6은 소득자와 배우자의 각각의 관계를 포함합니다.</t>
    <phoneticPr fontId="4" type="noConversion"/>
  </si>
  <si>
    <t xml:space="preserve">3. 연령기준 및 소득기준 </t>
    <phoneticPr fontId="4" type="noConversion"/>
  </si>
  <si>
    <t xml:space="preserve"> - 소득금액기준 : 부양가족의 소득금액 합계액이 100만원(근로소득만 있는 자는 총급여 500만원)을 초과하는지 여부를 "√" 표시합니다.</t>
    <phoneticPr fontId="4" type="noConversion"/>
  </si>
  <si>
    <t>4. "부녀자 공제"란에는 소득자 본인이 여성인 경우로서 다음의 요건을 모두 충족하는 경우에 표시합니다.</t>
  </si>
  <si>
    <t>5. "장애인 공제"란에는 다음의 해당 코드를 적습니다.</t>
  </si>
  <si>
    <t>6. 내ㆍ외국인: 내국인=1, 외국인=9로 구분하여 적습니다. 종교관련종사자가 외국인에 해당하는 경우 국적을 적으며, 국적코드는 거주지국코드를 참조하여 적습니다.</t>
  </si>
  <si>
    <t>7. 내ㆍ외국인: 내국인=1, 외국인=9로 구분하여 적습니다. 근로소득자가 외국인에 해당하는 경우 국적을 적으며, 국적코드는 거주지국코드를 참조하여 적습니다.</t>
  </si>
  <si>
    <t>(제2쪽)</t>
    <phoneticPr fontId="4" type="noConversion"/>
  </si>
  <si>
    <t>구분</t>
    <phoneticPr fontId="4" type="noConversion"/>
  </si>
  <si>
    <t>지출명세</t>
    <phoneticPr fontId="4" type="noConversion"/>
  </si>
  <si>
    <t>지출구분</t>
    <phoneticPr fontId="4" type="noConversion"/>
  </si>
  <si>
    <t>금  액</t>
    <phoneticPr fontId="4" type="noConversion"/>
  </si>
  <si>
    <t>한도액</t>
    <phoneticPr fontId="4" type="noConversion"/>
  </si>
  <si>
    <t>공제액</t>
    <phoneticPr fontId="4" type="noConversion"/>
  </si>
  <si>
    <t>Ⅱ.
연금
보험료
공제</t>
    <phoneticPr fontId="4" type="noConversion"/>
  </si>
  <si>
    <r>
      <t>연금보험료</t>
    </r>
    <r>
      <rPr>
        <sz val="8"/>
        <color theme="1"/>
        <rFont val="맑은 고딕"/>
        <family val="3"/>
        <charset val="129"/>
        <scheme val="minor"/>
      </rPr>
      <t xml:space="preserve">
(국민연금, 공무원
연금, 군인연금, 
교직원연금 등)</t>
    </r>
    <phoneticPr fontId="4" type="noConversion"/>
  </si>
  <si>
    <t>국민연금보험료</t>
    <phoneticPr fontId="4" type="noConversion"/>
  </si>
  <si>
    <t>종(전)근무지</t>
    <phoneticPr fontId="4" type="noConversion"/>
  </si>
  <si>
    <t>보험료</t>
    <phoneticPr fontId="4" type="noConversion"/>
  </si>
  <si>
    <t>전액</t>
    <phoneticPr fontId="4" type="noConversion"/>
  </si>
  <si>
    <t>주(현)근무지</t>
    <phoneticPr fontId="4" type="noConversion"/>
  </si>
  <si>
    <t>전액</t>
    <phoneticPr fontId="4" type="noConversion"/>
  </si>
  <si>
    <t>국민연금보험료외의
공적연금보험료</t>
    <phoneticPr fontId="4" type="noConversion"/>
  </si>
  <si>
    <t>보험료</t>
    <phoneticPr fontId="4" type="noConversion"/>
  </si>
  <si>
    <t>주(현)근무지</t>
    <phoneticPr fontId="4" type="noConversion"/>
  </si>
  <si>
    <t>연금보험료 계</t>
    <phoneticPr fontId="4" type="noConversion"/>
  </si>
  <si>
    <t>Ⅲ.특별소득공제</t>
    <phoneticPr fontId="4" type="noConversion"/>
  </si>
  <si>
    <t>보험료</t>
    <phoneticPr fontId="4" type="noConversion"/>
  </si>
  <si>
    <r>
      <t xml:space="preserve">국민건강보험
</t>
    </r>
    <r>
      <rPr>
        <sz val="8"/>
        <color theme="1"/>
        <rFont val="맑은 고딕"/>
        <family val="3"/>
        <charset val="129"/>
        <scheme val="minor"/>
      </rPr>
      <t>(노인장기요양보험 포함)</t>
    </r>
    <phoneticPr fontId="4" type="noConversion"/>
  </si>
  <si>
    <t>고용보험</t>
    <phoneticPr fontId="4" type="noConversion"/>
  </si>
  <si>
    <t>종(전)근무지</t>
    <phoneticPr fontId="4" type="noConversion"/>
  </si>
  <si>
    <t>보험료 계</t>
    <phoneticPr fontId="4" type="noConversion"/>
  </si>
  <si>
    <t>주택자금</t>
    <phoneticPr fontId="4" type="noConversion"/>
  </si>
  <si>
    <t>주택임차차입금</t>
    <phoneticPr fontId="4" type="noConversion"/>
  </si>
  <si>
    <t>대출기관차입</t>
    <phoneticPr fontId="4" type="noConversion"/>
  </si>
  <si>
    <t>원리금상환액</t>
    <phoneticPr fontId="4" type="noConversion"/>
  </si>
  <si>
    <t>작성방법 참조</t>
    <phoneticPr fontId="4" type="noConversion"/>
  </si>
  <si>
    <t>거주자 차입</t>
    <phoneticPr fontId="4" type="noConversion"/>
  </si>
  <si>
    <t>장기
주택
저당
차입금</t>
    <phoneticPr fontId="4" type="noConversion"/>
  </si>
  <si>
    <t>2011년 이전
차입분</t>
    <phoneticPr fontId="4" type="noConversion"/>
  </si>
  <si>
    <t>15년 미만</t>
    <phoneticPr fontId="4" type="noConversion"/>
  </si>
  <si>
    <t>이자
상환액</t>
    <phoneticPr fontId="4" type="noConversion"/>
  </si>
  <si>
    <t>작성방법 참조</t>
  </si>
  <si>
    <t>15년~29년</t>
    <phoneticPr fontId="4" type="noConversion"/>
  </si>
  <si>
    <t>30년 이상</t>
    <phoneticPr fontId="4" type="noConversion"/>
  </si>
  <si>
    <r>
      <t xml:space="preserve">2012년 이후
</t>
    </r>
    <r>
      <rPr>
        <sz val="8"/>
        <color theme="1"/>
        <rFont val="맑은 고딕"/>
        <family val="3"/>
        <charset val="129"/>
        <scheme val="minor"/>
      </rPr>
      <t>차입분(15년 이상)</t>
    </r>
    <phoneticPr fontId="4" type="noConversion"/>
  </si>
  <si>
    <t>고정금리이거나,
비거치상황 대출</t>
    <phoneticPr fontId="4" type="noConversion"/>
  </si>
  <si>
    <t>기타 대출</t>
    <phoneticPr fontId="4" type="noConversion"/>
  </si>
  <si>
    <t>2015년 이후
차입분</t>
    <phoneticPr fontId="4" type="noConversion"/>
  </si>
  <si>
    <t>15년
이상</t>
    <phoneticPr fontId="4" type="noConversion"/>
  </si>
  <si>
    <t>고정금리이면서,
비거치상환대출</t>
    <phoneticPr fontId="4" type="noConversion"/>
  </si>
  <si>
    <t>고정금리이거나,
비거치상환대출</t>
    <phoneticPr fontId="4" type="noConversion"/>
  </si>
  <si>
    <t>10~15년</t>
    <phoneticPr fontId="4" type="noConversion"/>
  </si>
  <si>
    <t>주택자금 공제액 계</t>
    <phoneticPr fontId="4" type="noConversion"/>
  </si>
  <si>
    <t>기부금
(이월분)</t>
    <phoneticPr fontId="4" type="noConversion"/>
  </si>
  <si>
    <t>기부금이월액</t>
    <phoneticPr fontId="4" type="noConversion"/>
  </si>
  <si>
    <t>기부금이월액</t>
    <phoneticPr fontId="4" type="noConversion"/>
  </si>
  <si>
    <t>기부금이월분(합계)</t>
    <phoneticPr fontId="4" type="noConversion"/>
  </si>
  <si>
    <t>Ⅳ.그밖의 소득공제</t>
    <phoneticPr fontId="4" type="noConversion"/>
  </si>
  <si>
    <t>개인연금저축(2000년 이전 가입)</t>
    <phoneticPr fontId="4" type="noConversion"/>
  </si>
  <si>
    <t>납입금액</t>
    <phoneticPr fontId="4" type="noConversion"/>
  </si>
  <si>
    <t>납입액40%와
72만원</t>
    <phoneticPr fontId="4" type="noConversion"/>
  </si>
  <si>
    <t>소기업·소상공인 공제부금</t>
    <phoneticPr fontId="4" type="noConversion"/>
  </si>
  <si>
    <t>납입금액</t>
    <phoneticPr fontId="4" type="noConversion"/>
  </si>
  <si>
    <t>작성방법 참조</t>
    <phoneticPr fontId="4" type="noConversion"/>
  </si>
  <si>
    <t>주택마련저축</t>
    <phoneticPr fontId="4" type="noConversion"/>
  </si>
  <si>
    <t>청약저축</t>
    <phoneticPr fontId="4" type="noConversion"/>
  </si>
  <si>
    <t>근로자주택마련저축</t>
    <phoneticPr fontId="4" type="noConversion"/>
  </si>
  <si>
    <t>주택청약종합저축</t>
    <phoneticPr fontId="4" type="noConversion"/>
  </si>
  <si>
    <t>주택마련저축 소득공제 계</t>
    <phoneticPr fontId="4" type="noConversion"/>
  </si>
  <si>
    <t>투자조합
출자 등</t>
    <phoneticPr fontId="4" type="noConversion"/>
  </si>
  <si>
    <t>벤처 등</t>
    <phoneticPr fontId="4" type="noConversion"/>
  </si>
  <si>
    <t>출자·투자금액</t>
    <phoneticPr fontId="4" type="noConversion"/>
  </si>
  <si>
    <t>조합1</t>
    <phoneticPr fontId="4" type="noConversion"/>
  </si>
  <si>
    <t>조합2</t>
    <phoneticPr fontId="4" type="noConversion"/>
  </si>
  <si>
    <t>벤처 등</t>
    <phoneticPr fontId="4" type="noConversion"/>
  </si>
  <si>
    <t>조합1</t>
    <phoneticPr fontId="4" type="noConversion"/>
  </si>
  <si>
    <t>조합2</t>
    <phoneticPr fontId="4" type="noConversion"/>
  </si>
  <si>
    <t>투자조합 출자 등 소득공제 계</t>
    <phoneticPr fontId="4" type="noConversion"/>
  </si>
  <si>
    <t>신용카드 등
사용액</t>
    <phoneticPr fontId="4" type="noConversion"/>
  </si>
  <si>
    <t>① 신용카드</t>
    <phoneticPr fontId="4" type="noConversion"/>
  </si>
  <si>
    <t>사용금액</t>
    <phoneticPr fontId="4" type="noConversion"/>
  </si>
  <si>
    <t xml:space="preserve">② 직불 · 선불카드 </t>
    <phoneticPr fontId="4" type="noConversion"/>
  </si>
  <si>
    <t>③ 현금영수증</t>
    <phoneticPr fontId="4" type="noConversion"/>
  </si>
  <si>
    <t>사용금액</t>
    <phoneticPr fontId="4" type="noConversion"/>
  </si>
  <si>
    <t>④ 도서 · 공연사용분(총급여 7천만원 이하자)</t>
    <phoneticPr fontId="4" type="noConversion"/>
  </si>
  <si>
    <t>⑤ 전통시장사용분</t>
    <phoneticPr fontId="4" type="noConversion"/>
  </si>
  <si>
    <t>⑥ 대중교통이용분</t>
    <phoneticPr fontId="4" type="noConversion"/>
  </si>
  <si>
    <t>우리사주조합 출연금</t>
    <phoneticPr fontId="4" type="noConversion"/>
  </si>
  <si>
    <t>출연금액</t>
    <phoneticPr fontId="4" type="noConversion"/>
  </si>
  <si>
    <t>고용유지중소기업 근로자</t>
    <phoneticPr fontId="4" type="noConversion"/>
  </si>
  <si>
    <t>임금삭감액</t>
    <phoneticPr fontId="4" type="noConversion"/>
  </si>
  <si>
    <t>장기집합투자증권저축</t>
    <phoneticPr fontId="4" type="noConversion"/>
  </si>
  <si>
    <t>청년형 장기집합투자증권저축</t>
    <phoneticPr fontId="4" type="noConversion"/>
  </si>
  <si>
    <t>( 제3쪽 )</t>
    <phoneticPr fontId="4" type="noConversion"/>
  </si>
  <si>
    <t>구분</t>
    <phoneticPr fontId="4" type="noConversion"/>
  </si>
  <si>
    <t>세액감면 · 공제명세</t>
    <phoneticPr fontId="4" type="noConversion"/>
  </si>
  <si>
    <r>
      <t xml:space="preserve"> 세액감면 · 공제명세                               </t>
    </r>
    <r>
      <rPr>
        <sz val="8"/>
        <color theme="1"/>
        <rFont val="맑은 고딕"/>
        <family val="3"/>
        <charset val="129"/>
        <scheme val="minor"/>
      </rPr>
      <t xml:space="preserve">  </t>
    </r>
    <phoneticPr fontId="4" type="noConversion"/>
  </si>
  <si>
    <t>Ⅴ.세액감면및공제</t>
    <phoneticPr fontId="4" type="noConversion"/>
  </si>
  <si>
    <t>세액감면</t>
    <phoneticPr fontId="4" type="noConversion"/>
  </si>
  <si>
    <t>외국인
근로자</t>
    <phoneticPr fontId="4" type="noConversion"/>
  </si>
  <si>
    <t>입국목적         [   ]정부간 협약    [   ] 「조세특례제한법」 상 감면    [   ] 조세조약 상 감면</t>
    <phoneticPr fontId="4" type="noConversion"/>
  </si>
  <si>
    <t>기술도입계약 또는 근로제공일</t>
    <phoneticPr fontId="4" type="noConversion"/>
  </si>
  <si>
    <t>감면기간 만료일</t>
    <phoneticPr fontId="4" type="noConversion"/>
  </si>
  <si>
    <t>외국인 근로소득에 대한 감면</t>
    <phoneticPr fontId="4" type="noConversion"/>
  </si>
  <si>
    <t>접수일</t>
    <phoneticPr fontId="4" type="noConversion"/>
  </si>
  <si>
    <t>제출일</t>
    <phoneticPr fontId="4" type="noConversion"/>
  </si>
  <si>
    <t>근로소득에 대한 조세조약 상 면제</t>
    <phoneticPr fontId="4" type="noConversion"/>
  </si>
  <si>
    <t>성과공유 중소기업 경영성과급 감면</t>
    <phoneticPr fontId="4" type="noConversion"/>
  </si>
  <si>
    <t>시작일</t>
    <phoneticPr fontId="4" type="noConversion"/>
  </si>
  <si>
    <t>종료일</t>
    <phoneticPr fontId="4" type="noConversion"/>
  </si>
  <si>
    <t>중소기업 청년근로자 및 핵심인력 성과보상기금 수령액 감면</t>
    <phoneticPr fontId="4" type="noConversion"/>
  </si>
  <si>
    <t>종료일</t>
    <phoneticPr fontId="4" type="noConversion"/>
  </si>
  <si>
    <t>내국인 우수 인력 국내 복귀 감면</t>
    <phoneticPr fontId="4" type="noConversion"/>
  </si>
  <si>
    <t>중소기업 취업자 감면</t>
    <phoneticPr fontId="4" type="noConversion"/>
  </si>
  <si>
    <t>취업일</t>
    <phoneticPr fontId="4" type="noConversion"/>
  </si>
  <si>
    <t>감면기간 종료일</t>
    <phoneticPr fontId="4" type="noConversion"/>
  </si>
  <si>
    <t>세액공제</t>
    <phoneticPr fontId="4" type="noConversion"/>
  </si>
  <si>
    <t>공 제 종 류</t>
    <phoneticPr fontId="4" type="noConversion"/>
  </si>
  <si>
    <t>명세</t>
    <phoneticPr fontId="4" type="noConversion"/>
  </si>
  <si>
    <t>공제대상금액</t>
    <phoneticPr fontId="4" type="noConversion"/>
  </si>
  <si>
    <t>공제율</t>
    <phoneticPr fontId="4" type="noConversion"/>
  </si>
  <si>
    <t>공제세액</t>
    <phoneticPr fontId="4" type="noConversion"/>
  </si>
  <si>
    <t>연금
계좌</t>
    <phoneticPr fontId="4" type="noConversion"/>
  </si>
  <si>
    <t>「과학기술인공제회법」에 따른 퇴직연금</t>
    <phoneticPr fontId="4" type="noConversion"/>
  </si>
  <si>
    <t>작성방법
참조</t>
    <phoneticPr fontId="4" type="noConversion"/>
  </si>
  <si>
    <t>12%,
15%</t>
    <phoneticPr fontId="4" type="noConversion"/>
  </si>
  <si>
    <t>「근로자퇴직급여 보장법」에 따른 퇴직연금</t>
    <phoneticPr fontId="4" type="noConversion"/>
  </si>
  <si>
    <t>연금저축</t>
    <phoneticPr fontId="4" type="noConversion"/>
  </si>
  <si>
    <t>연금계좌 계</t>
    <phoneticPr fontId="4" type="noConversion"/>
  </si>
  <si>
    <t>특별세액공제</t>
    <phoneticPr fontId="4" type="noConversion"/>
  </si>
  <si>
    <t>보장성</t>
    <phoneticPr fontId="4" type="noConversion"/>
  </si>
  <si>
    <t>100만원</t>
    <phoneticPr fontId="4" type="noConversion"/>
  </si>
  <si>
    <t>장애인전용보험</t>
    <phoneticPr fontId="4" type="noConversion"/>
  </si>
  <si>
    <t>100만원</t>
    <phoneticPr fontId="4" type="noConversion"/>
  </si>
  <si>
    <t>의료비</t>
    <phoneticPr fontId="4" type="noConversion"/>
  </si>
  <si>
    <t>본인·65세이상자·장애인
건강보험산정특례자</t>
    <phoneticPr fontId="4" type="noConversion"/>
  </si>
  <si>
    <t>지출액</t>
    <phoneticPr fontId="4" type="noConversion"/>
  </si>
  <si>
    <t>난임시술비</t>
    <phoneticPr fontId="4" type="noConversion"/>
  </si>
  <si>
    <t>지출액</t>
    <phoneticPr fontId="4" type="noConversion"/>
  </si>
  <si>
    <t>미숙아ㆍ선천성 이상아</t>
    <phoneticPr fontId="4" type="noConversion"/>
  </si>
  <si>
    <t>그 밖의 공제대상자</t>
    <phoneticPr fontId="4" type="noConversion"/>
  </si>
  <si>
    <t>실손의료보험금 계</t>
    <phoneticPr fontId="4" type="noConversion"/>
  </si>
  <si>
    <t>수령액</t>
    <phoneticPr fontId="4" type="noConversion"/>
  </si>
  <si>
    <t>의료비 계</t>
    <phoneticPr fontId="4" type="noConversion"/>
  </si>
  <si>
    <t>교육비</t>
    <phoneticPr fontId="4" type="noConversion"/>
  </si>
  <si>
    <t>소득자 본인</t>
    <phoneticPr fontId="4" type="noConversion"/>
  </si>
  <si>
    <t>공납금(대학원포함)</t>
    <phoneticPr fontId="4" type="noConversion"/>
  </si>
  <si>
    <t>취학전 아동 (  명)</t>
    <phoneticPr fontId="4" type="noConversion"/>
  </si>
  <si>
    <t>유치원·학원비등</t>
    <phoneticPr fontId="4" type="noConversion"/>
  </si>
  <si>
    <t>1명당300만원</t>
    <phoneticPr fontId="4" type="noConversion"/>
  </si>
  <si>
    <t>초·중·고등학교 (  명)</t>
    <phoneticPr fontId="4" type="noConversion"/>
  </si>
  <si>
    <t>공납금</t>
    <phoneticPr fontId="4" type="noConversion"/>
  </si>
  <si>
    <t>대학생(대학원 불포함)(  명)</t>
    <phoneticPr fontId="4" type="noConversion"/>
  </si>
  <si>
    <t>1명당900만원</t>
    <phoneticPr fontId="4" type="noConversion"/>
  </si>
  <si>
    <t>장애인 (  명)</t>
    <phoneticPr fontId="4" type="noConversion"/>
  </si>
  <si>
    <t>특수교육비</t>
    <phoneticPr fontId="4" type="noConversion"/>
  </si>
  <si>
    <t>교육비 계</t>
    <phoneticPr fontId="4" type="noConversion"/>
  </si>
  <si>
    <t>기부금</t>
    <phoneticPr fontId="4" type="noConversion"/>
  </si>
  <si>
    <t>정치자금
기부금</t>
    <phoneticPr fontId="4" type="noConversion"/>
  </si>
  <si>
    <t>10만원 이하</t>
    <phoneticPr fontId="4" type="noConversion"/>
  </si>
  <si>
    <t>기부금액</t>
    <phoneticPr fontId="4" type="noConversion"/>
  </si>
  <si>
    <t>100/110</t>
    <phoneticPr fontId="4" type="noConversion"/>
  </si>
  <si>
    <t>10만원 초과</t>
    <phoneticPr fontId="4" type="noConversion"/>
  </si>
  <si>
    <t>기부금액</t>
    <phoneticPr fontId="4" type="noConversion"/>
  </si>
  <si>
    <t>우리사주조합기부금</t>
    <phoneticPr fontId="4" type="noConversion"/>
  </si>
  <si>
    <t>기부금 계</t>
    <phoneticPr fontId="4" type="noConversion"/>
  </si>
  <si>
    <t>외국납부세액</t>
    <phoneticPr fontId="4" type="noConversion"/>
  </si>
  <si>
    <t>국외원천소득</t>
    <phoneticPr fontId="4" type="noConversion"/>
  </si>
  <si>
    <t>납세액(외화)</t>
    <phoneticPr fontId="4" type="noConversion"/>
  </si>
  <si>
    <t>납세액(원화)</t>
    <phoneticPr fontId="4" type="noConversion"/>
  </si>
  <si>
    <t>-</t>
    <phoneticPr fontId="4" type="noConversion"/>
  </si>
  <si>
    <t>납세국명</t>
    <phoneticPr fontId="4" type="noConversion"/>
  </si>
  <si>
    <t>납부일</t>
    <phoneticPr fontId="4" type="noConversion"/>
  </si>
  <si>
    <t>신청서제출일</t>
    <phoneticPr fontId="4" type="noConversion"/>
  </si>
  <si>
    <t>국외근무처</t>
    <phoneticPr fontId="4" type="noConversion"/>
  </si>
  <si>
    <t>근무기간</t>
    <phoneticPr fontId="4" type="noConversion"/>
  </si>
  <si>
    <t>직책</t>
    <phoneticPr fontId="4" type="noConversion"/>
  </si>
  <si>
    <t>주택자금차입금이자세액공제</t>
    <phoneticPr fontId="4" type="noConversion"/>
  </si>
  <si>
    <t>이자상환액</t>
    <phoneticPr fontId="4" type="noConversion"/>
  </si>
  <si>
    <t>월세액 세액공제</t>
    <phoneticPr fontId="4" type="noConversion"/>
  </si>
  <si>
    <t>15% 또는 17%</t>
    <phoneticPr fontId="4" type="noConversion"/>
  </si>
  <si>
    <r>
      <t xml:space="preserve">   신고인은 「소득세법」 제140조에 따라 위의 내용을 신고하며,    </t>
    </r>
    <r>
      <rPr>
        <b/>
        <sz val="10"/>
        <color theme="1"/>
        <rFont val="맑은 고딕"/>
        <family val="3"/>
        <charset val="129"/>
        <scheme val="minor"/>
      </rPr>
      <t xml:space="preserve">위 내용을 충분히 검토하였고 신고인이 알고 있는 
사실 그대로를 정확하게 적었음을 확인합니다. </t>
    </r>
    <r>
      <rPr>
        <sz val="9"/>
        <color theme="1"/>
        <rFont val="맑은 고딕"/>
        <family val="3"/>
        <charset val="129"/>
        <scheme val="minor"/>
      </rPr>
      <t xml:space="preserve">                      2022년   1월     일</t>
    </r>
    <phoneticPr fontId="4" type="noConversion"/>
  </si>
  <si>
    <t>신고인</t>
    <phoneticPr fontId="4" type="noConversion"/>
  </si>
  <si>
    <t>(서명 또는 인)</t>
    <phoneticPr fontId="4" type="noConversion"/>
  </si>
  <si>
    <t>Ⅵ. 추가 제출 서류</t>
    <phoneticPr fontId="4" type="noConversion"/>
  </si>
  <si>
    <t xml:space="preserve"> 1. 외국인근로자 단일세율적용신청서 제출 여부(○ 또는 × 로 적습니다)</t>
    <phoneticPr fontId="4" type="noConversion"/>
  </si>
  <si>
    <t>제출 (       )</t>
    <phoneticPr fontId="4" type="noConversion"/>
  </si>
  <si>
    <t xml:space="preserve"> 2. 종(전)근무지 
    명세</t>
    <phoneticPr fontId="4" type="noConversion"/>
  </si>
  <si>
    <t>종(전)근무지 명</t>
    <phoneticPr fontId="4" type="noConversion"/>
  </si>
  <si>
    <t>종(전)급여총액</t>
    <phoneticPr fontId="4" type="noConversion"/>
  </si>
  <si>
    <t>종(전)근무지 근로소득
원천징수영수증 제출 (    )</t>
    <phoneticPr fontId="4" type="noConversion"/>
  </si>
  <si>
    <t>사업자등록번호</t>
    <phoneticPr fontId="4" type="noConversion"/>
  </si>
  <si>
    <t>종(전)결정세액</t>
    <phoneticPr fontId="4" type="noConversion"/>
  </si>
  <si>
    <t xml:space="preserve"> 3. 연금·저축 등 소득·세액 공제명세서 제출 여부
    (○ 또는 X 로 적습니다.)</t>
    <phoneticPr fontId="4" type="noConversion"/>
  </si>
  <si>
    <t>제출(     )   ※ 연금계좌, 주택마련저축 등 소득·세액공제를 신청한 경우
                   해당 명세서를 제출해야 합니다.</t>
    <phoneticPr fontId="4" type="noConversion"/>
  </si>
  <si>
    <t xml:space="preserve"> 4. 월세액·거주자 간 주택임차차입금 원리금상환액  소득  
    ·세액공제명세서 제출 여부 (○ 또는 X 로 적습니다.)</t>
    <phoneticPr fontId="4" type="noConversion"/>
  </si>
  <si>
    <t>제출(     )   ※ 월세액·거주자 간 주택임차차입금 원리금상환액 소득·
               세액공제를 신청한 경우 해당 명세서를 제출해야 합니다.</t>
    <phoneticPr fontId="4" type="noConversion"/>
  </si>
  <si>
    <t xml:space="preserve"> 5. 그 밖의 추가 제출 서류</t>
    <phoneticPr fontId="4" type="noConversion"/>
  </si>
  <si>
    <t>① 의료비지급명세서 (    ),   ② 기부금명세서 (    ),  ③ 소득·세액공제 증명서류</t>
    <phoneticPr fontId="4" type="noConversion"/>
  </si>
  <si>
    <t>1. 근로소득자가 종(전)근무지 근로소득을 원천징수의무자에게 신고하지 않은 경우에는 근로소득자 본인이 종합소득세 신고를 해야 하며, 
   신고하지 않은 경우 가산세 부과 등 불이익이 따릅니다.</t>
    <phoneticPr fontId="4" type="noConversion"/>
  </si>
  <si>
    <t>2. 현 근무지의 연금보험료ㆍ국민건강보험료 및 고용보험료 등은 신고인이 기재하지 않아도 됩니다.</t>
    <phoneticPr fontId="4" type="noConversion"/>
  </si>
  <si>
    <t>3. "공제금액"란은 근로소득자가 원천징수의무자에게 제출하는 경우 적지 않을 수 있습니다.</t>
    <phoneticPr fontId="4" type="noConversion"/>
  </si>
  <si>
    <t>( 제4쪽)</t>
    <phoneticPr fontId="4" type="noConversion"/>
  </si>
  <si>
    <t>인적공제 및 소득ㆍ세액공제 명세 작성방법</t>
    <phoneticPr fontId="4" type="noConversion"/>
  </si>
  <si>
    <t>특별소득공제명세 작성방법</t>
    <phoneticPr fontId="31" type="noConversion"/>
  </si>
  <si>
    <t>주택
자금</t>
    <phoneticPr fontId="4" type="noConversion"/>
  </si>
  <si>
    <t>일반사항</t>
    <phoneticPr fontId="4" type="noConversion"/>
  </si>
  <si>
    <t>주택자금상환등증명서ㆍ장기주택저당차입금이자상환증명서의 납입금액 또는 상환액을 적습니다.</t>
    <phoneticPr fontId="4" type="noConversion"/>
  </si>
  <si>
    <t>주택임차
차입금</t>
    <phoneticPr fontId="4" type="noConversion"/>
  </si>
  <si>
    <t>장기주택
저당차입금</t>
    <phoneticPr fontId="4" type="noConversion"/>
  </si>
  <si>
    <t>해당 과세기간에 지급한 이자상환금액(원금상환액은 제외합니다)을 적습니다. 2011년 이전 차입분은 상환기간 15년 미만, 15년 이상 29년 이하
(「소득세법 시행령」 제112조제10항제5호 포함), 30년 이상(「소득세법 시행령」 제112조제10항제5호 포함)으로 구분하여 적고, 2012년 이후 
차입분(상환기간 15년 이상)은 고정금리ㆍ비거치식 상환분과 기타 상환분을 구분하여 적고, 2015년이후 차입분은 상환기간 15년 이상, 
10년 이상 15년 미만으로 구분하여 적습니다.</t>
    <phoneticPr fontId="4" type="noConversion"/>
  </si>
  <si>
    <t>기부금(이월분)</t>
    <phoneticPr fontId="4" type="noConversion"/>
  </si>
  <si>
    <t>2013년 이전 기부금액 중 한도초과 등으로 공제받지 못하고 이월된 금액을 적습니다. 당해연도 기부금액과 합하여 기부금공제 한도를 
적용합니다. (2013년 이전 기부금액 중 이월된 기부금은 해당연도 기부금보다 우선하여 공제 적용합니다)</t>
    <phoneticPr fontId="4" type="noConversion"/>
  </si>
  <si>
    <t>그 밖의 소득공제 작성방법</t>
    <phoneticPr fontId="31" type="noConversion"/>
  </si>
  <si>
    <t>개인연금저축공제</t>
    <phoneticPr fontId="4" type="noConversion"/>
  </si>
  <si>
    <t>공제금액은 개인연금저축 납입액의 40%까지 공제됩니다.
해당 공제를 신청할 때에는 이 서식 제8쪽의 연금ㆍ저축 등 소득ㆍ세액 공제명세서를 작성해야 합니다.</t>
    <phoneticPr fontId="4" type="noConversion"/>
  </si>
  <si>
    <t>주택마련저축공제</t>
    <phoneticPr fontId="4" type="noConversion"/>
  </si>
  <si>
    <t>소기업·소상공인
공제부금소득공제</t>
    <phoneticPr fontId="4" type="noConversion"/>
  </si>
  <si>
    <t xml:space="preserve"> 해당 과세기간의 공제부금 납부액과 300만원(근로소득금액이 4천만 원 이하인 경우에는 500만원, 근로소득금액 1억 원 초과하는 
 경우에는 200만원) 중 적은 금액을 적습니다. </t>
    <phoneticPr fontId="4" type="noConversion"/>
  </si>
  <si>
    <t>투자조합
출자공제</t>
    <phoneticPr fontId="4" type="noConversion"/>
  </si>
  <si>
    <t>내용</t>
    <phoneticPr fontId="4" type="noConversion"/>
  </si>
  <si>
    <t>공제</t>
    <phoneticPr fontId="4" type="noConversion"/>
  </si>
  <si>
    <t>구  분</t>
    <phoneticPr fontId="4" type="noConversion"/>
  </si>
  <si>
    <t>공제율</t>
    <phoneticPr fontId="4" type="noConversion"/>
  </si>
  <si>
    <t>한  도  액</t>
    <phoneticPr fontId="4" type="noConversion"/>
  </si>
  <si>
    <t>신용카드 등
소득공제</t>
    <phoneticPr fontId="4" type="noConversion"/>
  </si>
  <si>
    <t>( 제5쪽)</t>
    <phoneticPr fontId="4" type="noConversion"/>
  </si>
  <si>
    <t xml:space="preserve">   ⑥ 다음의 어느 하나에 해당하는 금액</t>
    <phoneticPr fontId="4" type="noConversion"/>
  </si>
  <si>
    <t>최저사용금액  X  15%</t>
    <phoneticPr fontId="4" type="noConversion"/>
  </si>
  <si>
    <t>신용카드사용분 × 15% + (최저사용금액 - 신용카드사용분) × 30%</t>
    <phoneticPr fontId="4" type="noConversion"/>
  </si>
  <si>
    <t>우리사주조합
출연금 소득공제</t>
    <phoneticPr fontId="4" type="noConversion"/>
  </si>
  <si>
    <t>( 제6쪽)</t>
    <phoneticPr fontId="4" type="noConversion"/>
  </si>
  <si>
    <t>인적공제 및 소득공제 명세 작성방법</t>
    <phoneticPr fontId="4" type="noConversion"/>
  </si>
  <si>
    <t>고용유지중소기업 근로자 소득공제</t>
    <phoneticPr fontId="4" type="noConversion"/>
  </si>
  <si>
    <t>장기집합투자
증권저축</t>
    <phoneticPr fontId="4" type="noConversion"/>
  </si>
  <si>
    <t>해당 과세기간에 장기집합투자증권저축 납입액(연 600만원 한도)을 기준으로 40%까지 공제됩니다. 
해당 공제를 신청할 때에는 이 서식 제8쪽의 연금ㆍ저축 등 소득ㆍ세액 공제명세서를 작성해야 합니다.</t>
    <phoneticPr fontId="4" type="noConversion"/>
  </si>
  <si>
    <t>청년형 장기집합
투자증권저축</t>
    <phoneticPr fontId="4" type="noConversion"/>
  </si>
  <si>
    <t>해당 과세기간에 청년형 장기집합투자증권저축 납입액(연 600만원 한도)을 기준으로 40%까지 공제됩니다. 
해당 공제를 신청할 때에는 이 서식 제8쪽의 연금ㆍ저축 등 소득ㆍ세액 공제명세서를 작성해야 합니다.</t>
    <phoneticPr fontId="4" type="noConversion"/>
  </si>
  <si>
    <t>세액공제 작성방법</t>
    <phoneticPr fontId="31" type="noConversion"/>
  </si>
  <si>
    <t>① 외국납부세액과 ② 산출세액에 국외원천소득이 해당 과세기간의 근로소득금액에서 차지하는 비율을 곱하여 산출한 금액 중 작은 금액</t>
    <phoneticPr fontId="4" type="noConversion"/>
  </si>
  <si>
    <t>연금계좌</t>
    <phoneticPr fontId="4" type="noConversion"/>
  </si>
  <si>
    <t>보 험 료</t>
    <phoneticPr fontId="4" type="noConversion"/>
  </si>
  <si>
    <t>보장성보험의 "보험료"란에는 자동차ㆍ생명ㆍ상해보험 등 보장성보험에 납입한 금액을 적습니다.
장애인전용보장성보험의 "보험료"란에는 장애인을 피보험자 또는 수익자로 하는 장애인전용보험에 납입한 금액을 적습니다.</t>
    <phoneticPr fontId="4" type="noConversion"/>
  </si>
  <si>
    <t>의 료 비</t>
    <phoneticPr fontId="4" type="noConversion"/>
  </si>
  <si>
    <t>교 육 비</t>
    <phoneticPr fontId="4" type="noConversion"/>
  </si>
  <si>
    <t>기 부 금</t>
    <phoneticPr fontId="4" type="noConversion"/>
  </si>
  <si>
    <t>월 세 액</t>
    <phoneticPr fontId="4" type="noConversion"/>
  </si>
  <si>
    <t>유의사항</t>
    <phoneticPr fontId="4" type="noConversion"/>
  </si>
  <si>
    <t>( 제7쪽)</t>
    <phoneticPr fontId="4" type="noConversion"/>
  </si>
  <si>
    <t>소득ㆍ세액 공제신고서 첨부서류</t>
    <phoneticPr fontId="4" type="noConversion"/>
  </si>
  <si>
    <t>구  분</t>
    <phoneticPr fontId="4" type="noConversion"/>
  </si>
  <si>
    <t>첨부서류</t>
    <phoneticPr fontId="4" type="noConversion"/>
  </si>
  <si>
    <t>추가공제</t>
    <phoneticPr fontId="4" type="noConversion"/>
  </si>
  <si>
    <t>특별소득공제
주택자금</t>
    <phoneticPr fontId="4" type="noConversion"/>
  </si>
  <si>
    <t>개인 연금저축공제</t>
    <phoneticPr fontId="4" type="noConversion"/>
  </si>
  <si>
    <t>주택마련저축공제</t>
    <phoneticPr fontId="4" type="noConversion"/>
  </si>
  <si>
    <t>소기업·소상공인
공제부금 소득공제</t>
    <phoneticPr fontId="4" type="noConversion"/>
  </si>
  <si>
    <t>투자조합출자공제</t>
    <phoneticPr fontId="4" type="noConversion"/>
  </si>
  <si>
    <t>신용카드 등 사용액
소득공제</t>
    <phoneticPr fontId="4" type="noConversion"/>
  </si>
  <si>
    <t>장기집합투자증건
저축소득공제</t>
    <phoneticPr fontId="4" type="noConversion"/>
  </si>
  <si>
    <t>청년형 장기집합
투자증권 저축 
소득공제</t>
    <phoneticPr fontId="4" type="noConversion"/>
  </si>
  <si>
    <t>그 밖의 공제</t>
    <phoneticPr fontId="4" type="noConversion"/>
  </si>
  <si>
    <t>연금계좌 세액공제</t>
    <phoneticPr fontId="4" type="noConversion"/>
  </si>
  <si>
    <t>특별
세액
공제</t>
    <phoneticPr fontId="4" type="noConversion"/>
  </si>
  <si>
    <t>1. 의료비지급명세서 및 다음에 해당하는 영수증
 가. 의료기관ㆍ약사 등이 확인한 것
 나. 안경 등의 경우에는 안경사가 확인한 것
 다. 보청기ㆍ장애인 보장구의 경우에는 판매자가 확인한 것
 라. 의료기기 구입 또는 임차 비용의 경우에는 판매자가 확인한 것 및 의사 등의 처방전 
 마. 산후조리원에 산후조리 및 요양의 대가로 지출한 비용의 경우 산후조리원이 확인하는 영수증
2. 국민건강보험공단 이사장이 발행하는 의료비부담명세서</t>
    <phoneticPr fontId="4" type="noConversion"/>
  </si>
  <si>
    <t>교육비</t>
    <phoneticPr fontId="4" type="noConversion"/>
  </si>
  <si>
    <t>기부금명세서 및 기부금영수증(발급기관이 기부자의 성명, 기부금액 및 기부일 등 기부명세를 적고, 확인한 것에 한정합니다)</t>
    <phoneticPr fontId="4" type="noConversion"/>
  </si>
  <si>
    <t>월세액 세액공제</t>
    <phoneticPr fontId="4" type="noConversion"/>
  </si>
  <si>
    <t>임대차계약서 사본, 무통장입금증 등 월세액을 지급하였음을 증명하는 서류, 주민등록표등본</t>
    <phoneticPr fontId="4" type="noConversion"/>
  </si>
  <si>
    <t>유의사항</t>
    <phoneticPr fontId="4" type="noConversion"/>
  </si>
  <si>
    <t xml:space="preserve"> ※ "*" 표시된 첨부서류의 경우 원천징수의무자에게 제출하고, 그 이후 변동사항이 없으면 다음 연도부터는 제출하지 않을 수 있습니다.  
    특히, 주민등록표등본은 공제대상배우자, 공제대상부양가족, 공제대상장애인 또는 공제대상경로우대자의 변동이 없으면 제출하지 않습니다.
 ※ 국세청 홈택스(연말정산간소화 서비스)에서 제공하는 연말정산소득ㆍ세액 공제명세를 첨부서류로서 원천징수의무자에게 제출할 수 있습니다.
 ※ 주민등록표등본은 정부민원포탈 정부24(www.gov.kr)에서 무료로 발급받을 수 있습니다.</t>
    <phoneticPr fontId="4" type="noConversion"/>
  </si>
  <si>
    <t>( 제8쪽)</t>
    <phoneticPr fontId="4" type="noConversion"/>
  </si>
  <si>
    <t>연금 · 저축 등  소득· 세액 공제 명세서</t>
    <phoneticPr fontId="31" type="noConversion"/>
  </si>
  <si>
    <t>1. 인적사항</t>
    <phoneticPr fontId="4" type="noConversion"/>
  </si>
  <si>
    <t>① 상호</t>
    <phoneticPr fontId="4" type="noConversion"/>
  </si>
  <si>
    <t>② 사업자등록번호</t>
    <phoneticPr fontId="4" type="noConversion"/>
  </si>
  <si>
    <t>② 성명</t>
    <phoneticPr fontId="4" type="noConversion"/>
  </si>
  <si>
    <t>④ 주민등록번호</t>
    <phoneticPr fontId="4" type="noConversion"/>
  </si>
  <si>
    <t>⑤ 주소</t>
    <phoneticPr fontId="4" type="noConversion"/>
  </si>
  <si>
    <t xml:space="preserve">전화번호 : </t>
    <phoneticPr fontId="4" type="noConversion"/>
  </si>
  <si>
    <t>⑥ 사업장소재지</t>
    <phoneticPr fontId="4" type="noConversion"/>
  </si>
  <si>
    <t xml:space="preserve">전화번호 : </t>
    <phoneticPr fontId="4" type="noConversion"/>
  </si>
  <si>
    <t>2. 연금계좌 세액공제</t>
    <phoneticPr fontId="4" type="noConversion"/>
  </si>
  <si>
    <t xml:space="preserve"> 1) 퇴직연금계좌</t>
    <phoneticPr fontId="4" type="noConversion"/>
  </si>
  <si>
    <t xml:space="preserve">   *퇴직연금계좌에 대한 명세를 작성합니다.</t>
    <phoneticPr fontId="4" type="noConversion"/>
  </si>
  <si>
    <t>퇴직연금구분</t>
    <phoneticPr fontId="4" type="noConversion"/>
  </si>
  <si>
    <t>금융회사 등</t>
    <phoneticPr fontId="4" type="noConversion"/>
  </si>
  <si>
    <t>계좌번호 (또는 증권번호)</t>
    <phoneticPr fontId="4" type="noConversion"/>
  </si>
  <si>
    <t>납입금액</t>
    <phoneticPr fontId="4" type="noConversion"/>
  </si>
  <si>
    <t>세액공제금액</t>
    <phoneticPr fontId="4" type="noConversion"/>
  </si>
  <si>
    <t xml:space="preserve"> 2) 연금저축계좌</t>
    <phoneticPr fontId="4" type="noConversion"/>
  </si>
  <si>
    <t xml:space="preserve">   *연금저축계좌에 대한 명세를 작성합니다.</t>
    <phoneticPr fontId="4" type="noConversion"/>
  </si>
  <si>
    <t>연금저축구분</t>
    <phoneticPr fontId="4" type="noConversion"/>
  </si>
  <si>
    <t>계좌번호 (또는 증권번호)</t>
    <phoneticPr fontId="4" type="noConversion"/>
  </si>
  <si>
    <t>납입금액</t>
    <phoneticPr fontId="4" type="noConversion"/>
  </si>
  <si>
    <t>소득·세액공제금액</t>
    <phoneticPr fontId="4" type="noConversion"/>
  </si>
  <si>
    <t xml:space="preserve"> 3) 개인종합자산관리계좌 만기 시 연금계좌 납입액</t>
    <phoneticPr fontId="4" type="noConversion"/>
  </si>
  <si>
    <t xml:space="preserve">   *납입 연금저축계좌 · 퇴직연금계좌에 대한 명세를 작성합니다.</t>
    <phoneticPr fontId="4" type="noConversion"/>
  </si>
  <si>
    <t>저축구분</t>
    <phoneticPr fontId="4" type="noConversion"/>
  </si>
  <si>
    <t>금융회사 등</t>
    <phoneticPr fontId="4" type="noConversion"/>
  </si>
  <si>
    <t>세액공제금액</t>
    <phoneticPr fontId="4" type="noConversion"/>
  </si>
  <si>
    <t>3. 주택마련저축 소득공제</t>
    <phoneticPr fontId="4" type="noConversion"/>
  </si>
  <si>
    <t xml:space="preserve">   *주택마련저축 소득공제에 대한 명세를 작성합니다.</t>
    <phoneticPr fontId="4" type="noConversion"/>
  </si>
  <si>
    <t>저축 구분</t>
    <phoneticPr fontId="4" type="noConversion"/>
  </si>
  <si>
    <t>소득공제금액</t>
    <phoneticPr fontId="4" type="noConversion"/>
  </si>
  <si>
    <t>4. 장기집합투자증권저축 소득공제</t>
    <phoneticPr fontId="4" type="noConversion"/>
  </si>
  <si>
    <t xml:space="preserve">   *장기집합투자증권저축 소득공제에 대한 명세를 작성합니다.</t>
    <phoneticPr fontId="4" type="noConversion"/>
  </si>
  <si>
    <t>소득공제금액</t>
    <phoneticPr fontId="4" type="noConversion"/>
  </si>
  <si>
    <t>5. 중소기업창업주자조합 출자 등에 대한 소득공제</t>
    <phoneticPr fontId="4" type="noConversion"/>
  </si>
  <si>
    <t xml:space="preserve">   *중소기업창업주자조합 출자 등 소득공제에 대한 명세를 작성합니다.</t>
    <phoneticPr fontId="4" type="noConversion"/>
  </si>
  <si>
    <t>투자 연도</t>
    <phoneticPr fontId="4" type="noConversion"/>
  </si>
  <si>
    <t>투자 구분</t>
    <phoneticPr fontId="4" type="noConversion"/>
  </si>
  <si>
    <t>금융기관 등</t>
    <phoneticPr fontId="4" type="noConversion"/>
  </si>
  <si>
    <t>계좌번호(또는 증권번호)</t>
    <phoneticPr fontId="4" type="noConversion"/>
  </si>
  <si>
    <t xml:space="preserve"> 6. 청년형 장기집합투자증권저축 소득공제</t>
    <phoneticPr fontId="4" type="noConversion"/>
  </si>
  <si>
    <t xml:space="preserve">   *청년형 장기집합투자증권저축 소득공제에 대한 명세서를 작성합니다.</t>
    <phoneticPr fontId="4" type="noConversion"/>
  </si>
  <si>
    <t>가입일</t>
    <phoneticPr fontId="4" type="noConversion"/>
  </si>
  <si>
    <t>계약기간</t>
    <phoneticPr fontId="4" type="noConversion"/>
  </si>
  <si>
    <t>금융기관 등</t>
    <phoneticPr fontId="4" type="noConversion"/>
  </si>
  <si>
    <t>계좌번호(또는 증권번호)</t>
    <phoneticPr fontId="4" type="noConversion"/>
  </si>
  <si>
    <t>작성방법</t>
    <phoneticPr fontId="4" type="noConversion"/>
  </si>
  <si>
    <t>( 제9쪽)</t>
    <phoneticPr fontId="4" type="noConversion"/>
  </si>
  <si>
    <t>[  ]월세액 · [  ] 거주자간 주택임차차입금 원리금 상환액 소득· 세액 공제 명세서</t>
    <phoneticPr fontId="31" type="noConversion"/>
  </si>
  <si>
    <t>[ 무주택자 해당여부  [    ]여,  [    ]부 ]</t>
    <phoneticPr fontId="4" type="noConversion"/>
  </si>
  <si>
    <t>1. 인적사항</t>
    <phoneticPr fontId="4" type="noConversion"/>
  </si>
  <si>
    <t>① 상호</t>
    <phoneticPr fontId="4" type="noConversion"/>
  </si>
  <si>
    <t>② 사업자등록번호</t>
    <phoneticPr fontId="4" type="noConversion"/>
  </si>
  <si>
    <t>④ 주민등록번호</t>
    <phoneticPr fontId="4" type="noConversion"/>
  </si>
  <si>
    <t>⑤ 주소</t>
    <phoneticPr fontId="4" type="noConversion"/>
  </si>
  <si>
    <t xml:space="preserve">전화번호 : </t>
    <phoneticPr fontId="4" type="noConversion"/>
  </si>
  <si>
    <t>⑥ 사업장소재지</t>
    <phoneticPr fontId="4" type="noConversion"/>
  </si>
  <si>
    <t xml:space="preserve">전화번호 : </t>
    <phoneticPr fontId="4" type="noConversion"/>
  </si>
  <si>
    <t>2. 월세액 세액공제 명세</t>
    <phoneticPr fontId="4" type="noConversion"/>
  </si>
  <si>
    <t>⑦ 임대인
    성  명
   (상 호)</t>
    <phoneticPr fontId="31" type="noConversion"/>
  </si>
  <si>
    <t>⑧주민등록번호
(사업자번호)</t>
    <phoneticPr fontId="31" type="noConversion"/>
  </si>
  <si>
    <t>⑨유형</t>
    <phoneticPr fontId="31" type="noConversion"/>
  </si>
  <si>
    <t>⑩계약
면적(㎡)</t>
    <phoneticPr fontId="31" type="noConversion"/>
  </si>
  <si>
    <t>⑪ 임대차계약서 상
주소지</t>
    <phoneticPr fontId="31" type="noConversion"/>
  </si>
  <si>
    <t>⑫계약서상 임대차 계약기간</t>
    <phoneticPr fontId="31" type="noConversion"/>
  </si>
  <si>
    <t>⑬연간 
월세액(원)</t>
    <phoneticPr fontId="31" type="noConversion"/>
  </si>
  <si>
    <t>⑭세액공제
금액(원)</t>
    <phoneticPr fontId="31" type="noConversion"/>
  </si>
  <si>
    <t>개시일</t>
    <phoneticPr fontId="31" type="noConversion"/>
  </si>
  <si>
    <t>종료일</t>
    <phoneticPr fontId="31" type="noConversion"/>
  </si>
  <si>
    <t xml:space="preserve">  ※ ⑨ 유형 구분코드 - 단독주택 : 1,  다가구 : 2,  다세대주택 : 3,  연립주택 : 4,  아파트 : 5,  오피스텔 : 6,  고시원 : 7, 기타 : 8</t>
    <phoneticPr fontId="31" type="noConversion"/>
  </si>
  <si>
    <t xml:space="preserve">  ※ ⑫ 계약서상 임대차계약기간 - 개시일과 종료일은 예시와 같이 기재 (예시) 2017.01.01.</t>
    <phoneticPr fontId="31" type="noConversion"/>
  </si>
  <si>
    <t>3. 거주자 간 주택임차차입금 원리금 상환액 소득공제 명세</t>
    <phoneticPr fontId="31" type="noConversion"/>
  </si>
  <si>
    <t xml:space="preserve">    1) 금전소비대차 계약내용</t>
    <phoneticPr fontId="31" type="noConversion"/>
  </si>
  <si>
    <t>원리금 상환액</t>
    <phoneticPr fontId="31" type="noConversion"/>
  </si>
  <si>
    <t>㉒공제금액</t>
    <phoneticPr fontId="31" type="noConversion"/>
  </si>
  <si>
    <t>㉑이자</t>
    <phoneticPr fontId="31" type="noConversion"/>
  </si>
  <si>
    <t xml:space="preserve">    2) 임대차 계약내용</t>
    <phoneticPr fontId="31" type="noConversion"/>
  </si>
  <si>
    <t>㉓ 임대인
성명(상호)</t>
    <phoneticPr fontId="31" type="noConversion"/>
  </si>
  <si>
    <t>㉔ 주민등록번호
(사업자번호)</t>
    <phoneticPr fontId="31" type="noConversion"/>
  </si>
  <si>
    <t>㉗ 임대차계약서 상
주소지</t>
    <phoneticPr fontId="31" type="noConversion"/>
  </si>
  <si>
    <t>개시일</t>
    <phoneticPr fontId="31" type="noConversion"/>
  </si>
  <si>
    <t>종료일</t>
    <phoneticPr fontId="31" type="noConversion"/>
  </si>
  <si>
    <t xml:space="preserve">  ※  ㉕ 주택유형 구분코드 - 단독주택 : 1,  다가구 : 2,  다세대주택 : 3,  연립주택 : 4,  아파트 : 5,  오피스텔 : 6,  고시원 : 7, 기타 : 8</t>
    <phoneticPr fontId="31" type="noConversion"/>
  </si>
  <si>
    <t>작 성 방 법</t>
    <phoneticPr fontId="31" type="noConversion"/>
  </si>
  <si>
    <t>개인종합자산관리계좌 만기 시 연금계좌 납입액</t>
    <phoneticPr fontId="4" type="noConversion"/>
  </si>
  <si>
    <t>15%, 25%</t>
    <phoneticPr fontId="4" type="noConversion"/>
  </si>
  <si>
    <t>근로소득자 소득·세액 공제신고서 작성 유의사항</t>
    <phoneticPr fontId="4" type="noConversion"/>
  </si>
  <si>
    <t>1. 제1쪽 근로자 성명, 주민등록번호, 근무기간 기재</t>
    <phoneticPr fontId="4" type="noConversion"/>
  </si>
  <si>
    <r>
      <t xml:space="preserve">   소득액이 작거나 환급 받을 소득세가 없어도 </t>
    </r>
    <r>
      <rPr>
        <b/>
        <u/>
        <sz val="11"/>
        <color theme="1"/>
        <rFont val="맑은 고딕"/>
        <family val="3"/>
        <charset val="129"/>
        <scheme val="minor"/>
      </rPr>
      <t xml:space="preserve">재직중인 근로자는 모두 소득·세액공제신고서와 </t>
    </r>
    <phoneticPr fontId="4" type="noConversion"/>
  </si>
  <si>
    <r>
      <t xml:space="preserve">   </t>
    </r>
    <r>
      <rPr>
        <b/>
        <u/>
        <sz val="11"/>
        <color rgb="FF0000FF"/>
        <rFont val="맑은 고딕"/>
        <family val="3"/>
        <charset val="129"/>
        <scheme val="minor"/>
      </rPr>
      <t>주민등록등본(주민등록번호 모두 표기 - 별표 안됨)</t>
    </r>
    <r>
      <rPr>
        <b/>
        <u/>
        <sz val="11"/>
        <color theme="1"/>
        <rFont val="맑은 고딕"/>
        <family val="3"/>
        <charset val="129"/>
        <scheme val="minor"/>
      </rPr>
      <t>을 제출</t>
    </r>
    <phoneticPr fontId="4" type="noConversion"/>
  </si>
  <si>
    <r>
      <t xml:space="preserve">2. 제1쪽 인적공제 항목에 </t>
    </r>
    <r>
      <rPr>
        <b/>
        <u/>
        <sz val="11"/>
        <color theme="1"/>
        <rFont val="맑은 고딕"/>
        <family val="3"/>
        <charset val="129"/>
        <scheme val="minor"/>
      </rPr>
      <t>부양가족 성명 및 주민등록번호 기재(연령기준 참조)하고  "○" 표기</t>
    </r>
    <r>
      <rPr>
        <sz val="11"/>
        <color theme="1"/>
        <rFont val="맑은 고딕"/>
        <family val="2"/>
        <charset val="129"/>
        <scheme val="minor"/>
      </rPr>
      <t xml:space="preserve"> </t>
    </r>
    <phoneticPr fontId="4" type="noConversion"/>
  </si>
  <si>
    <t xml:space="preserve">   (미 표기시 부양가족 공제  반영 안됨)</t>
    <phoneticPr fontId="4" type="noConversion"/>
  </si>
  <si>
    <t xml:space="preserve">   양도소득, 사업소득, 퇴직소득, 기타소득, 공적연금소득, 금융소득 등이 있는 부양가족은 확인 필요</t>
    <phoneticPr fontId="4" type="noConversion"/>
  </si>
  <si>
    <t>3. 모든 금액란 기재는 총 사용금액 및 발생금액으로 표기</t>
    <phoneticPr fontId="4" type="noConversion"/>
  </si>
  <si>
    <t>4. 제3쪽의 네모안 신고인은 근로자 본인 성명과 도장 또는 서명 기재</t>
    <phoneticPr fontId="4" type="noConversion"/>
  </si>
  <si>
    <t xml:space="preserve">5. 제3쪽의 종전근무지란은 당해연도 입사자중 종전근무지 소득이 있는 근로자는 기재 후 </t>
    <phoneticPr fontId="4" type="noConversion"/>
  </si>
  <si>
    <t xml:space="preserve">   근로소득원천징수영수증을 첨부하여 본사에서 합산신고 할 수 있도록 하며, 누락시에는 근로자 본인이</t>
    <phoneticPr fontId="4" type="noConversion"/>
  </si>
  <si>
    <t xml:space="preserve">   당해연도중 당사 관리 아파트에서 퇴사후 당사 관리 아파트로 재입사 하신분들도 </t>
    <phoneticPr fontId="4" type="noConversion"/>
  </si>
  <si>
    <t xml:space="preserve">   전근무지 원천징수영수증(전근무지에 보관되어 있음)을 제출하셔야 합니다.</t>
    <phoneticPr fontId="4" type="noConversion"/>
  </si>
  <si>
    <t xml:space="preserve">   당사 근로자가 많아 근로자별로 확인이 어려움.</t>
    <phoneticPr fontId="4" type="noConversion"/>
  </si>
  <si>
    <t>※ 제출기한 : 2022년 1월 26일까지 도착(익일특급 발송)</t>
    <phoneticPr fontId="4" type="noConversion"/>
  </si>
  <si>
    <r>
      <t xml:space="preserve">■ 소득세법 시행규칙[별지 제37호서식(1)] </t>
    </r>
    <r>
      <rPr>
        <sz val="9"/>
        <color rgb="FFFF0000"/>
        <rFont val="맑은 고딕"/>
        <family val="3"/>
        <charset val="129"/>
        <scheme val="minor"/>
      </rPr>
      <t>&lt;개정안 2024. 3&gt;</t>
    </r>
    <phoneticPr fontId="4" type="noConversion"/>
  </si>
  <si>
    <r>
      <t>소득ㆍ세액 공제신고서/근로소득자 소득ㆍ세액 공제신고서</t>
    </r>
    <r>
      <rPr>
        <sz val="12"/>
        <color rgb="FF000000"/>
        <rFont val="맑은 고딕"/>
        <family val="3"/>
        <charset val="129"/>
        <scheme val="minor"/>
      </rPr>
      <t>(2023년 소득에 대한 연말정산용)</t>
    </r>
    <phoneticPr fontId="4" type="noConversion"/>
  </si>
  <si>
    <t>2023.   .   . ∼ 2023.   .   .</t>
    <phoneticPr fontId="4" type="noConversion"/>
  </si>
  <si>
    <t xml:space="preserve"> - 경로우대: (1963.12.31.) 이전 출생(만 70세 이상: 연 100만원 공제)기본공제 대상 부양가족이 만 70세 이상에 해당하는 경우 "√"표시합니다.</t>
    <phoneticPr fontId="4" type="noConversion"/>
  </si>
  <si>
    <t>1~3월</t>
    <phoneticPr fontId="4" type="noConversion"/>
  </si>
  <si>
    <t>4~12월</t>
    <phoneticPr fontId="4" type="noConversion"/>
  </si>
  <si>
    <t xml:space="preserve">  가. 해당 과세기간의 종합소득과세표준을 계산할 때 합산하는 종합소득금액이 3천만원 이하일 것</t>
    <phoneticPr fontId="4" type="noConversion"/>
  </si>
  <si>
    <t xml:space="preserve">  나. 배우자가 없는 여성으로서 「소득세법」 제50조제1항제3호에 따른 부양가족이 있는 세대주이거나 배우자가 있는 여성일 것</t>
    <phoneticPr fontId="4" type="noConversion"/>
  </si>
  <si>
    <t xml:space="preserve">   2024년 5월에 거주지 관할 세무서에 직접 신고하여야 함</t>
    <phoneticPr fontId="4" type="noConversion"/>
  </si>
  <si>
    <t xml:space="preserve">   2023년 소득금액이 100만원 이하인 부양가족 공제 가능(근로소득만 있는 경우 총급여액 500만원)</t>
    <phoneticPr fontId="4" type="noConversion"/>
  </si>
  <si>
    <r>
      <rPr>
        <sz val="9"/>
        <color rgb="FFFF0000"/>
        <rFont val="맑은 고딕"/>
        <family val="3"/>
        <charset val="129"/>
        <scheme val="minor"/>
      </rPr>
      <t>2021년</t>
    </r>
    <r>
      <rPr>
        <sz val="9"/>
        <rFont val="맑은 고딕"/>
        <family val="3"/>
        <charset val="129"/>
        <scheme val="minor"/>
      </rPr>
      <t xml:space="preserve"> 출자 · 투자분</t>
    </r>
    <phoneticPr fontId="4" type="noConversion"/>
  </si>
  <si>
    <r>
      <rPr>
        <sz val="9"/>
        <color rgb="FFFF0000"/>
        <rFont val="맑은 고딕"/>
        <family val="3"/>
        <charset val="129"/>
        <scheme val="minor"/>
      </rPr>
      <t>2022년</t>
    </r>
    <r>
      <rPr>
        <sz val="9"/>
        <rFont val="맑은 고딕"/>
        <family val="3"/>
        <charset val="129"/>
        <scheme val="minor"/>
      </rPr>
      <t xml:space="preserve"> 출자 · 투자분</t>
    </r>
    <phoneticPr fontId="4" type="noConversion"/>
  </si>
  <si>
    <r>
      <rPr>
        <sz val="9"/>
        <color rgb="FFFF0000"/>
        <rFont val="맑은 고딕"/>
        <family val="3"/>
        <charset val="129"/>
        <scheme val="minor"/>
      </rPr>
      <t>2023년</t>
    </r>
    <r>
      <rPr>
        <sz val="9"/>
        <rFont val="맑은 고딕"/>
        <family val="3"/>
        <charset val="129"/>
        <scheme val="minor"/>
      </rPr>
      <t xml:space="preserve"> 출자 · 투자분</t>
    </r>
    <phoneticPr fontId="4" type="noConversion"/>
  </si>
  <si>
    <t>특례기부금</t>
    <phoneticPr fontId="4" type="noConversion"/>
  </si>
  <si>
    <t>일반기부금(종교단체 기부금 제외)</t>
    <phoneticPr fontId="4" type="noConversion"/>
  </si>
  <si>
    <t>일반기부금 중 종교단체기부금</t>
    <phoneticPr fontId="4" type="noConversion"/>
  </si>
  <si>
    <r>
      <t xml:space="preserve">    </t>
    </r>
    <r>
      <rPr>
        <sz val="10"/>
        <color rgb="FFFF0000"/>
        <rFont val="맑은 고딕"/>
        <family val="3"/>
        <charset val="129"/>
        <scheme val="minor"/>
      </rPr>
      <t>계(①+②+③+④+⑤+⑥)</t>
    </r>
    <phoneticPr fontId="4" type="noConversion"/>
  </si>
  <si>
    <t>고향사랑
기부금</t>
    <phoneticPr fontId="4" type="noConversion"/>
  </si>
  <si>
    <t>15%
또는 
30%</t>
    <phoneticPr fontId="4" type="noConversion"/>
  </si>
  <si>
    <t>특례기부금</t>
    <phoneticPr fontId="4" type="noConversion"/>
  </si>
  <si>
    <t>일반기부금
(종교단체기부금 제외)</t>
    <phoneticPr fontId="4" type="noConversion"/>
  </si>
  <si>
    <t>일반기부금 중
종교단체기부금</t>
    <phoneticPr fontId="4" type="noConversion"/>
  </si>
  <si>
    <r>
      <t xml:space="preserve">주택임차차입금 원리금 상환액: 해당 연도 주택임차차입금에 대한 원리금상환액의 40%까지 공제됩니다.
주택임차차입금 원리금 상환액은 대출기관차입분, 거주자로부터 차입분을 구분하여 작성하며 공제금액은 「조세특례제한법」 
제87조에 따른 주택마련저축 소득공제와 합하여 </t>
    </r>
    <r>
      <rPr>
        <sz val="8"/>
        <color rgb="FFFF0000"/>
        <rFont val="맑은 고딕"/>
        <family val="3"/>
        <charset val="129"/>
        <scheme val="minor"/>
      </rPr>
      <t>연 400만원</t>
    </r>
    <r>
      <rPr>
        <sz val="8"/>
        <color theme="1"/>
        <rFont val="맑은 고딕"/>
        <family val="3"/>
        <charset val="129"/>
        <scheme val="minor"/>
      </rPr>
      <t xml:space="preserve">을 초과할 수 없습니다. </t>
    </r>
    <phoneticPr fontId="4" type="noConversion"/>
  </si>
  <si>
    <t>신용카드사용분 &lt; 최저사용금액 ≤ 신용카드 + 현금영수증 + 직불ㆍ선불카드 + 총급여 7천만원 이하자의 도서ㆍ공연등 사용분(1~3월)</t>
    <phoneticPr fontId="4" type="noConversion"/>
  </si>
  <si>
    <t xml:space="preserve">신용카드 + 현금영수증 + 직불ㆍ선불카드 + 총급여 7천만원 이하자의 도서ㆍ공연등 사용분(1~3월) &lt; 최저사용금액≤ 신용카드 + 현금영수증 + 직불ㆍ선불카드 + 총급여 7천만원 이하자의 도서ㆍ공연등 사용분(1~3월)+총급여 7천만원 이하자의 도서ㆍ공연등 사용분(4~12월)+ 전통시장 사용분(1~3월) </t>
    <phoneticPr fontId="4" type="noConversion"/>
  </si>
  <si>
    <t>신용카드사용분 × 15% + (현금영수증 + 직불ㆍ선불카드 + 총급여 7천만원 이하자의 도서ㆍ공연등 사용분(1~3월)) × 30% + (최저사용금액 - 신용카드사용분 - 현금영수증 - 직불선불카드 - 총급여 7천만원 이하자의 도서ㆍ공연등 사용분(1~3월)) × 40%</t>
    <phoneticPr fontId="4" type="noConversion"/>
  </si>
  <si>
    <t>신용카드사용분 × 15% + (현금영수증 + 직불ㆍ선불카드 + 총급여 7천만원 이하자의 도서ㆍ공연등 사용분(1~3월)) × 30% + (총급여 7천만원 이하자의 도서ㆍ공연등 사용분(4~12월) + 전통시장사용분(1~3월))  × 40% +(최저사용금액 - 신용카드사용분 - 현금영수증 - 직불선불카드 - 총급여 7천만원 이하자의 도서ㆍ공연등 사용분(1~3월) - 총급여 7천만원 이하자의 도서ㆍ공연등 사용분(4~12월) - 전통시장 사용분(1~3월)× 50%</t>
    <phoneticPr fontId="4" type="noConversion"/>
  </si>
  <si>
    <t>신용카드 + 현금영수증 + 직불ㆍ선불카드 + 총급여 7천만원 이하자의 도서ㆍ공연등 사용분(1~3월)+총급여 7천만원 이하자의 도서ㆍ공연등 사용분(4~12월)+ 전통시장 사용분(1~3월)  &lt; 최저사용금액≤ 신용카드 + 현금영수증 + 직불ㆍ선불카드 + 총급여 7천만원 이하자의 도서ㆍ공연등 사용분(1~3월)+총급여 7천만원 이하자의 도서ㆍ공연등 사용분(4~12월)+ 전통시장 사용분(1~3월) + 전통시장 사용분(4~12월)</t>
    <phoneticPr fontId="4" type="noConversion"/>
  </si>
  <si>
    <t>신용카드 + 현금영수증 + 직불ㆍ선불카드 + 총급여 7천만원 이하자의 도서ㆍ공연등 사용분(1~3월)+총급여 7천만원 이하자의 도서ㆍ공연등 사용분(4~12월)+ 전통시장 사용분(1~3월) + 전통시장 사용분(4~12월) + 대중교통 사용분 &lt; 최저사용금액</t>
    <phoneticPr fontId="4" type="noConversion"/>
  </si>
  <si>
    <t>신용카드사용분 × 15% + (현금영수증 + 직불ㆍ선불카드 + 총급여 7천만원 이하자의 도서ㆍ공연등 사용분(1~3월)) × 30% + (총급여 7천만원 이하자의 도서ㆍ공연등 사용분(4~12월) + 전통시장사용분(1~3월))  × 40% + 전통시장 사용분(4~12월) ×50% + (최저사용금액 - 신용카드사용분 - 현금영수증 - 직불선불카드 - 총급여 7천만원 이하자의 도서ㆍ공연등 사용분(1~3월) - 총급여 7천만원 이하자의 도서ㆍ공연등 사용분(4~12월) - 전통시장 사용분(1~3월) - 전통시장 사용분(4~12월))×80%</t>
    <phoneticPr fontId="4" type="noConversion"/>
  </si>
  <si>
    <r>
      <t xml:space="preserve"> 고용유지중소기업에 근로를 제공하는 상시근로자에 대하여 </t>
    </r>
    <r>
      <rPr>
        <sz val="8"/>
        <color rgb="FFFF0000"/>
        <rFont val="맑은 고딕"/>
        <family val="3"/>
        <charset val="129"/>
        <scheme val="minor"/>
      </rPr>
      <t>2023년 12월 31일</t>
    </r>
    <r>
      <rPr>
        <sz val="8"/>
        <color theme="1"/>
        <rFont val="맑은 고딕"/>
        <family val="3"/>
        <charset val="129"/>
        <scheme val="minor"/>
      </rPr>
      <t>이 속하는 과세연도까지 임금삭감액에 50%에  해당하는 금액을 해당
 과세연도의 근로소득금액에서 공제합니다. 이 경우 공제할 금액이 1천만원을 초과하는 경우에는 그 초과하는 금액은 없는 것으로 합니다.</t>
    </r>
    <phoneticPr fontId="4" type="noConversion"/>
  </si>
  <si>
    <t>대중교통
 이용분</t>
    <phoneticPr fontId="4" type="noConversion"/>
  </si>
  <si>
    <t>1. 배우자 또는 생계를 같이하는 부양가족의 연간 소득금액이 100만원(근로소득만 있는 경우에는 총급여액 5백만원)을 초과하는 경우에는 인적공제
   대상에 해당하지 않습니다.
2. 배우자 또는 형제자매 등이 부모ㆍ자녀 등을 부양가족으로 신고한 경우 부양가족공제를 중복하여 받을 수 없으므로 신고서에 적지 않습니다.
3. 부녀자공제는 기본공제대상 부양가족이 있는 세대주인 여성근로자 또는 배우자가 있는 여성근로자로서 해당 과세기간에 종합소득 과세표준을 계산
   할 때 합산하는 종합소득금액이 3천만원 이하인 거주자에 한해 연 50만원을 공제합니다.
4. 한부모가족 소득공제는 배우자가 없는 근로자로서 기본공제대상자인 직계비속이 있는 경우 연 100만원을 공제합니다.
   (부녀자공제와 중복 시 하나만을 선택하여 적용)
5. 장애인공제는 근로자의 기본공제대상자로서 「소득세법」에 따른 장애인으로 연간 소득금액이 100만원(근로소득만 있는 경우에는 총급여액 5백만원) 
   이하인 경우 장애인인 해당 부양가족 1명당 연 200만원을 공제합니다. 
6. 인적공제항목은 해당란에 "○"표시를 하며, 각종 소득ㆍ세액공제 항목은 공제를 위하여 실제 지출한 금액을 적습니다.
   - 자녀세액공제 대상 자녀가 있는 경우 자녀란에 "○"표시를 합니다.
   - 각종 소득공제 항목에서 보험료에는 국민건강보험료ㆍ노인장기요양보험료 및 고용보험료를 포함하고, 피보험자를 기준으로 적습니다.
7. "국세청 자료"란은 국세청 홈택스(연말정산간소화 서비스)에서 제공하는 연말정산소득ㆍ세액공제 명세의 각 소득공제 항목의 금액을 적습니다.
8. 기타 자료란은 소득자가 국세청 홈택스(연말정산간소화 서비스)에서 제공하는 증명서류 외의 것을 제출한 소득ㆍ세액공제 증명서류 금액을 적습니다.
9. 소득ㆍ세액공제는 서식에서 정하는 바에 따라 순서대로 소득ㆍ세액공제를 적용하여 종합소득과세표준과 세액을 계산합니다.</t>
    <phoneticPr fontId="4" type="noConversion"/>
  </si>
  <si>
    <r>
      <rPr>
        <sz val="9"/>
        <color rgb="FFFF0000"/>
        <rFont val="맑은 고딕"/>
        <family val="3"/>
        <charset val="129"/>
        <scheme val="minor"/>
      </rPr>
      <t>해당 과세기간의 총급여액이 7천만원 이하인 근로소득자가 실제 납입한 금액(연 240만원 한도)을 기준으로 40%까지 공제됩니다.</t>
    </r>
    <r>
      <rPr>
        <sz val="9"/>
        <rFont val="맑은 고딕"/>
        <family val="3"/>
        <charset val="129"/>
        <scheme val="minor"/>
      </rPr>
      <t xml:space="preserve">
해당 공제를 신청할 때에는 이 서식 제8쪽의 연금ㆍ저축 등 소득ㆍ세액 공제명세서를 작성해야 합니다.</t>
    </r>
    <phoneticPr fontId="4" type="noConversion"/>
  </si>
  <si>
    <r>
      <t xml:space="preserve">「조세특례제한법」 제16조에 따라 중소기업창업투자조합 등에 출자 또는 투자한 금액을 적습니다.
 공제금액은 출자금액 등의 10%까지 공제되나, 개인투자조합 또는 벤처기업에 직접투자하는 경우 출자금액 등의 3천만원 이하
 분은 100%, 5천만원 이하분은 70%, 5천만원 초과분은 30%까지 공제됩니다. </t>
    </r>
    <r>
      <rPr>
        <sz val="9"/>
        <color rgb="FFFF0000"/>
        <rFont val="맑은 고딕"/>
        <family val="3"/>
        <charset val="129"/>
        <scheme val="minor"/>
      </rPr>
      <t xml:space="preserve">
 ※ 벤처 등(「조세특례제한법」제16조제1항제3호ㆍ제4호ㆍ제6호), 조합1(「조세특례제한법」제16조제1항제1호ㆍ제5호),
    조합2 (「조세특례제한법」제16조제1항제2호)로 구분하여 적습니다.</t>
    </r>
    <phoneticPr fontId="4" type="noConversion"/>
  </si>
  <si>
    <t xml:space="preserve"> 해당 과세연도 근로(종합)소득금액의 50% 다만,「조세특례제한법」제16조제1항제2호의 
벤처기업투자신탁 투자에 대한 1인당 소득공제액은 최대 3백만원</t>
    <phoneticPr fontId="4" type="noConversion"/>
  </si>
  <si>
    <t>10%
(100%,70%
,30%)</t>
    <phoneticPr fontId="4" type="noConversion"/>
  </si>
  <si>
    <r>
      <rPr>
        <sz val="9"/>
        <color rgb="FFFF0000"/>
        <rFont val="맑은 고딕"/>
        <family val="3"/>
        <charset val="129"/>
        <scheme val="minor"/>
      </rPr>
      <t xml:space="preserve">2021년
~2023년 </t>
    </r>
    <r>
      <rPr>
        <sz val="9"/>
        <rFont val="맑은 고딕"/>
        <family val="3"/>
        <charset val="129"/>
        <scheme val="minor"/>
      </rPr>
      <t xml:space="preserve">
출자·투자분</t>
    </r>
    <phoneticPr fontId="4" type="noConversion"/>
  </si>
  <si>
    <r>
      <t xml:space="preserve"> 1. "사용금액"란에는 카드사 등에서 발급한 신용카드등 사용금액 확인서에 따른 공제대상액의 합계액(해당 연도 1월 1일부터 12월 31일
   까지 사용 금액을 말합니다)을 적습니다. 사용금액에는 사업관련비용을 뺀 금액을 적습니다.
 2. 다른 거주자의 기본공제를 적용받지 않은 배우자와 생계를 같이하는 직계존비속의 사용금액도 포함됩니다. 다만, 연간소득금액이 
    100만원(근로소득만있는 자는 총급여 5백만원) 이하인 사람에 한정합니다.
 </t>
    </r>
    <r>
      <rPr>
        <sz val="9"/>
        <color rgb="FFFF0000"/>
        <rFont val="맑은 고딕"/>
        <family val="3"/>
        <charset val="129"/>
        <scheme val="minor"/>
      </rPr>
      <t>3. 공제금액: ①+②+③+④+⑤-⑥에 해당하는 금액</t>
    </r>
    <r>
      <rPr>
        <sz val="9"/>
        <color theme="1"/>
        <rFont val="맑은 고딕"/>
        <family val="3"/>
        <charset val="129"/>
        <scheme val="minor"/>
      </rPr>
      <t xml:space="preserve">
    ※ 도서ㆍ공연등 사용분은 총급여 7천만원 이하인자에 대하여 적용하며, 7천만원 초과자는 각 지불수단별 사용금액의 합계액에 해당
       금액을 포함하여 계산합니다.
   ① 전통시장사용분(신용카드ㆍ현금영수증ㆍ직불카드ㆍ선불카드) × </t>
    </r>
    <r>
      <rPr>
        <sz val="9"/>
        <color rgb="FFFF0000"/>
        <rFont val="맑은 고딕"/>
        <family val="3"/>
        <charset val="129"/>
        <scheme val="minor"/>
      </rPr>
      <t xml:space="preserve">40%(4~12월 사용분 50%)    </t>
    </r>
    <r>
      <rPr>
        <sz val="9"/>
        <color theme="1"/>
        <rFont val="맑은 고딕"/>
        <family val="3"/>
        <charset val="129"/>
        <scheme val="minor"/>
      </rPr>
      <t xml:space="preserve">
   ② 대중교통이용분(신용카드ㆍ현금영수증ㆍ직불카드ㆍ선불카드) ×</t>
    </r>
    <r>
      <rPr>
        <sz val="9"/>
        <color rgb="FFFF0000"/>
        <rFont val="맑은 고딕"/>
        <family val="3"/>
        <charset val="129"/>
        <scheme val="minor"/>
      </rPr>
      <t xml:space="preserve"> 80%</t>
    </r>
    <r>
      <rPr>
        <sz val="9"/>
        <color theme="1"/>
        <rFont val="맑은 고딕"/>
        <family val="3"/>
        <charset val="129"/>
        <scheme val="minor"/>
      </rPr>
      <t xml:space="preserve">
   ③ 도서ㆍ신문ㆍ</t>
    </r>
    <r>
      <rPr>
        <sz val="9"/>
        <color rgb="FFFF0000"/>
        <rFont val="맑은 고딕"/>
        <family val="3"/>
        <charset val="129"/>
        <scheme val="minor"/>
      </rPr>
      <t>영화관람료</t>
    </r>
    <r>
      <rPr>
        <sz val="9"/>
        <color theme="1"/>
        <rFont val="맑은 고딕"/>
        <family val="3"/>
        <charset val="129"/>
        <scheme val="minor"/>
      </rPr>
      <t>ㆍ공연ㆍ박물관ㆍ미술관(이하 이 서식에서 "도서ㆍ공연등 사용분"이라 하며, 총급여 7천만원 이하자만 기재
       합니다) 사용분 (신용카드ㆍ현금영수증ㆍ직불카드ㆍ선불카드) × 30%</t>
    </r>
    <r>
      <rPr>
        <sz val="9"/>
        <color rgb="FFFF0000"/>
        <rFont val="맑은 고딕"/>
        <family val="3"/>
        <charset val="129"/>
        <scheme val="minor"/>
      </rPr>
      <t xml:space="preserve"> (4~12월 사용분 40%)</t>
    </r>
    <r>
      <rPr>
        <sz val="9"/>
        <color theme="1"/>
        <rFont val="맑은 고딕"/>
        <family val="3"/>
        <charset val="129"/>
        <scheme val="minor"/>
      </rPr>
      <t xml:space="preserve"> 
   ④ 현금영수증, 직불ㆍ선불카드사용분[전통시장ㆍ대중교통, 도서ㆍ공연등 이용(사용)분에 포함된 금액 제외] × 30%  
   ⑤ 신용카드사용분(= 신용카드등 사용금액 합계액 - 전통시장사용분 - 대중교통이용분 – 도서ㆍ공연등 사용분 - 현금영수증, 직불ㆍ선불
       카드 사용분) × 15%</t>
    </r>
    <phoneticPr fontId="4" type="noConversion"/>
  </si>
  <si>
    <r>
      <t xml:space="preserve">최저사용금액 </t>
    </r>
    <r>
      <rPr>
        <sz val="9"/>
        <color rgb="FFFF0000"/>
        <rFont val="KaiTi"/>
        <family val="3"/>
        <charset val="134"/>
      </rPr>
      <t xml:space="preserve"> ≦ </t>
    </r>
    <r>
      <rPr>
        <sz val="9"/>
        <color rgb="FFFF0000"/>
        <rFont val="맑은 고딕"/>
        <family val="3"/>
        <charset val="129"/>
        <scheme val="minor"/>
      </rPr>
      <t xml:space="preserve"> 신용카드사용분</t>
    </r>
    <phoneticPr fontId="4" type="noConversion"/>
  </si>
  <si>
    <t xml:space="preserve">   4. 공제한도:총급여 7천만원 이하자는 300만원, 총급여 7천만원 초과는 250만원을 한도로 하되, 한도초과금액이 있는 경우 한도초과
     금액과 ④+⑤+⑥에 해당하는 금액 중 작거나 같은 금액((④+⑤+⑥)의 금액은 연간 300만원 한도(총급여 7천만원 초과는 200만원 
     한도)을 신용카드등 소득공제 금액에 추가합니다.</t>
    <phoneticPr fontId="4" type="noConversion"/>
  </si>
  <si>
    <t xml:space="preserve"> 우리사주출연금 중 연 400만원(「조세특례제한법」 제16조제1항제3호의 벤처기업 등의 우리사주조합의 경우 연 1,500 만원)을 한도로
 소득공제 합니다.</t>
    <phoneticPr fontId="4" type="noConversion"/>
  </si>
  <si>
    <r>
      <t xml:space="preserve">해당 과세기간의 총급여액이 7천만원 이하인 근로소득자(해당 과세기간에 종합소득과세표준을 계산할 때 합산하는 종합소득금액이 6천만원을 초과하는 사람은 제외)가 지급하는 
월세액(연 750만원 한도)의 </t>
    </r>
    <r>
      <rPr>
        <sz val="9"/>
        <color rgb="FFFF0000"/>
        <rFont val="맑은 고딕"/>
        <family val="3"/>
        <charset val="129"/>
        <scheme val="minor"/>
      </rPr>
      <t>15%</t>
    </r>
    <r>
      <rPr>
        <sz val="9"/>
        <color theme="1"/>
        <rFont val="맑은 고딕"/>
        <family val="3"/>
        <charset val="129"/>
        <scheme val="minor"/>
      </rPr>
      <t xml:space="preserve">(총급여액 5,500만원 이하는 </t>
    </r>
    <r>
      <rPr>
        <sz val="9"/>
        <color rgb="FFFF0000"/>
        <rFont val="맑은 고딕"/>
        <family val="3"/>
        <charset val="129"/>
        <scheme val="minor"/>
      </rPr>
      <t>17%</t>
    </r>
    <r>
      <rPr>
        <sz val="9"/>
        <color theme="1"/>
        <rFont val="맑은 고딕"/>
        <family val="3"/>
        <charset val="129"/>
        <scheme val="minor"/>
      </rPr>
      <t>)를 종합소득산출세액에서 공제합니다.</t>
    </r>
    <phoneticPr fontId="4" type="noConversion"/>
  </si>
  <si>
    <r>
      <t xml:space="preserve"> 1. 「근로자퇴직급여 보장법」(확정급여형 퇴직연금제도 제외),「과학기술인공제회법」에 따라 근로자가 부담한 퇴직연금 납입액, 연금저축
   납입금액을 적습니다.
 </t>
    </r>
    <r>
      <rPr>
        <sz val="9"/>
        <color rgb="FFFF0000"/>
        <rFont val="맑은 고딕"/>
        <family val="3"/>
        <charset val="129"/>
        <scheme val="minor"/>
      </rPr>
      <t>2. 공제한도는 연금저축계좌 납입액에 대해서는 연 600만원이고, 연금저축계좌 납입액과 퇴직연금계좌 납입액을 합한 금액에 대해서는 
   연 900만원 입니다.
 3. 공제세액은 연금계좌 납입금액에 공제율 12%를 적용한 금액입니다.(다만, 해당 과세기간의 종합소득과세표준을 계산할 때 합산하는 
   종합소득금액이 4천500만원 이하(근로소득만 있는 경우 총급여 5천500만원 이하)인 거주자에 대해서는 공제율 15%를 적용합니다)</t>
    </r>
    <r>
      <rPr>
        <sz val="9"/>
        <color theme="1"/>
        <rFont val="맑은 고딕"/>
        <family val="3"/>
        <charset val="129"/>
        <scheme val="minor"/>
      </rPr>
      <t xml:space="preserve">
 4. 개인종합자산관리계좌 만기 시 연금계좌 납입액 공제세액은 개인종합자산관리계좌의 계약기간이 만료되고 해당 계좌잔액의 전부 또는
   일부를 연금 저축계좌·퇴직연금계좌로 납입한 경우 그 납입한 금액을 납입한 날이 속하는 과세기간의 연금계좌 납입액에 포함합니다
   (전환금액의 10%, 300만원 한도).
 5. 연금계좌 소득공제를 신청하는 경우 이 서식 8쪽의 연금ㆍ저축 등 소득ㆍ세액공제 명세서를 작성하여야 합니다.</t>
    </r>
    <phoneticPr fontId="4" type="noConversion"/>
  </si>
  <si>
    <r>
      <t xml:space="preserve"> 의료비지급명세서의 지급금액 합계액을 적습니다.
 1. 공제대상은 근로소득이 있는 거주자가 근로자 본인과 기본공제대상자(연령 및 소득금액의 제한을 받지 않습니다)를 위하여 해당연도 
   1월 1일부터 12월 31일까지 지급한 의료비입니다.
 2. 근로자인 거주자, 과세기간 종료일 현재 65세 이상인 자와 장애인, 건강보험산정특례자를 위하여 지급한 의료비</t>
    </r>
    <r>
      <rPr>
        <sz val="9"/>
        <color rgb="FFFF0000"/>
        <rFont val="맑은 고딕"/>
        <family val="3"/>
        <charset val="129"/>
        <scheme val="minor"/>
      </rPr>
      <t>,미숙아</t>
    </r>
    <r>
      <rPr>
        <sz val="9"/>
        <color rgb="FFFF0000"/>
        <rFont val="맑은 고딕"/>
        <family val="3"/>
        <charset val="128"/>
        <scheme val="minor"/>
      </rPr>
      <t>･</t>
    </r>
    <r>
      <rPr>
        <sz val="9"/>
        <color rgb="FFFF0000"/>
        <rFont val="맑은 고딕"/>
        <family val="3"/>
        <charset val="129"/>
        <scheme val="minor"/>
      </rPr>
      <t>선천성 이상아를
   위해 지출한 의료비</t>
    </r>
    <r>
      <rPr>
        <sz val="9"/>
        <rFont val="맑은 고딕"/>
        <family val="3"/>
        <charset val="129"/>
        <scheme val="minor"/>
      </rPr>
      <t>, 난임시술비는 의료비 지급액이 공제액입니다. 다만, 그 밖의 기본공제대상자를 위하여 지출한 의료비가 총급여액의 
   3%에 미달하는 경우 그 미달하는 금액을 뺍니다.
 3. 그 밖의 공제대상자를 위해 지출한 의료비는 총급여액의 3%를 초과하여 지출한 금액을 공제하되, 연 700만원 한도로 공제합니다.
 4. 의료비공제금액은 근로자인 거주자와 해당 부양가족을 위해 다음의 어느 하나에 해당하는 비용의 합계액을 말합니다.
    (미용ㆍ성형수술을 위한 비용 및 건강증진을 위한 의약품 구입비용은 포함되지 않습니다.)
  가. 진찰ㆍ치료ㆍ질병예방을 위하여 「의료법」 제3조에 따른 의료기관에 지급한 비용
  나. 치료ㆍ요양을 위하여 「약사법」 제2조에 따른 의약품(한약을 포함합니다)을 구입하고 지급한 비용
  다. 장애인의 보장구(「조세특례제한법 시행령」 제105조 및 같은 법 시행령 제105조에 따른 보장구에 한합니다) 및 의료기기(「의료기기법」 
  제2조 제1항에 따른 의료기기에 해당해야 합니다)의 구입 또는 임차비용(의료기기의 경우 의료기기를 명시한 의사의 처방전이 필요합니다)
  라. 시력보정용 안경 또는 콘택트렌즈 구입비용(1명당 연 50만원 한도) 
  마. 보청기 구입비용
  바. 「노인장기요양보험법」 제40조제1항에 따라 실제 지출한 본인일부부담금
  사. 「모자보건법」에 따른 산후조리원에 산후조리 및 요양의 대가로 지출한 비용</t>
    </r>
    <r>
      <rPr>
        <sz val="9"/>
        <color rgb="FFFF0000"/>
        <rFont val="맑은 고딕"/>
        <family val="3"/>
        <charset val="129"/>
        <scheme val="minor"/>
      </rPr>
      <t>(출산 1회당 200만원)</t>
    </r>
    <r>
      <rPr>
        <sz val="9"/>
        <rFont val="맑은 고딕"/>
        <family val="3"/>
        <charset val="129"/>
        <scheme val="minor"/>
      </rPr>
      <t xml:space="preserve">
 실손의료보험금란에는 해당 과세기간에 수령한 실손의료보험금 중 이전 과세기간에 지출한 의료비에 대한 실손의료보험금을 차감한 금액을 기재합니다. </t>
    </r>
    <phoneticPr fontId="4" type="noConversion"/>
  </si>
  <si>
    <t>1. 공제대상은 근로소득 있는 거주자가 근로자 본인과 기본공제대상자(연령의 제한을 받지 않습니다)를 위하여 해당 연도 1월 1일부터 12월 
   31일까지 지출한 입학금, 수업료, 학교ㆍ유치원ㆍ어린이집 등의 급식비ㆍ교과서대금ㆍ방과후 학교 및 방과후 과정 등의 수업료ㆍ특별활
   동비ㆍ도서구입비(초등학교 취학 전 아동, 초ㆍ중ㆍ고등학생), 교복구입비용(중ㆍ고등학생), 학교에서 실시하는 체험학습비, 국외교육비 
   등과 근로자 본인의 학자금대출 상환액을 말합니다.
 2. 장애인의 특수교육비는 기본공제대상자인 장애인을 위하여 사회복지시설, 보건복지부장관이 장애인재활교육을 실시하는 기관으로 인정
   한 비영리법인 또는 「장애아동복지지원법」 제21조제3항에 따라 지방자치단체가 지정한 발달재활서비스 제공기관에 지출한 교육비를 
   말합니다.</t>
    <phoneticPr fontId="4" type="noConversion"/>
  </si>
  <si>
    <r>
      <t xml:space="preserve">해당 기부금란에 기부금납입영수증의 기부금액 합계액을 적습니다.
 1. 정치자금기부금(「조세특례제한법」 제76조) 한도액: 종합소득금액
   해당 과세기간에 「정치자금법」에 따라 정당(같은 법에 따른 후원회 및 선거관리위원회를 포함함)에 기부한 정치자금 중 10만원까지는 그 
   기부금액의 110분의 100을, 10만원을 초과하는 금액에 대해서는100분의 15(해당 금액이 3천만원을 초과하는 경우 그 초과금액에 대해
   서는 100분의 25)를 종합소득산출세액에서 공제합니다.
 </t>
    </r>
    <r>
      <rPr>
        <sz val="9"/>
        <color rgb="FFFF0000"/>
        <rFont val="맑은 고딕"/>
        <family val="3"/>
        <charset val="129"/>
        <scheme val="minor"/>
      </rPr>
      <t>2. 고향사랑기부금(「조세특례제한법」 제58조) 한도액: 연간 5백만원
   해당 과세기간에「고향사랑 기부금에 관한 법률」에 따라 고향사랑 기부금을 지방자치단체에 기부한 경우 기부금액 중 10만원까지는 그 
   기부금액의 110분의 100을, 10만원을 초과하는 금액에 대해서는100분의 15를 종합소득산출세액에서 공제합니다.</t>
    </r>
    <r>
      <rPr>
        <sz val="9"/>
        <color theme="1"/>
        <rFont val="맑은 고딕"/>
        <family val="3"/>
        <charset val="129"/>
        <scheme val="minor"/>
      </rPr>
      <t xml:space="preserve">
 3. 우리사주조합기부금(「조세특례제한법」 제88조의4제13항) 한도액: (종합소득금액 – 정치자금기부금 – </t>
    </r>
    <r>
      <rPr>
        <sz val="9"/>
        <color rgb="FFFF0000"/>
        <rFont val="맑은 고딕"/>
        <family val="3"/>
        <charset val="129"/>
        <scheme val="minor"/>
      </rPr>
      <t>고향사랑기부금 - 특례기부금</t>
    </r>
    <r>
      <rPr>
        <sz val="9"/>
        <color theme="1"/>
        <rFont val="맑은 고딕"/>
        <family val="3"/>
        <charset val="129"/>
        <scheme val="minor"/>
      </rPr>
      <t xml:space="preserve">) × 
   30%(해당연도에 발생한 기부금으로 한정하여 해당 기부금란에 기부금납입영수증의 기부금액 합계액을 적습니다.)
 4. 소득세법에 따른 기부금
  ① </t>
    </r>
    <r>
      <rPr>
        <sz val="9"/>
        <color rgb="FFFF0000"/>
        <rFont val="맑은 고딕"/>
        <family val="3"/>
        <charset val="129"/>
        <scheme val="minor"/>
      </rPr>
      <t>특례기부금</t>
    </r>
    <r>
      <rPr>
        <sz val="9"/>
        <color theme="1"/>
        <rFont val="맑은 고딕"/>
        <family val="3"/>
        <charset val="129"/>
        <scheme val="minor"/>
      </rPr>
      <t xml:space="preserve"> 한도액: 종합소득금액
  ② </t>
    </r>
    <r>
      <rPr>
        <sz val="9"/>
        <color rgb="FFFF0000"/>
        <rFont val="맑은 고딕"/>
        <family val="3"/>
        <charset val="129"/>
        <scheme val="minor"/>
      </rPr>
      <t>일반기부금</t>
    </r>
    <r>
      <rPr>
        <sz val="9"/>
        <color theme="1"/>
        <rFont val="맑은 고딕"/>
        <family val="3"/>
        <charset val="129"/>
        <scheme val="minor"/>
      </rPr>
      <t xml:space="preserve"> 한도액
    가. 종교단체에 기부한 금액이 있는 경우: [(종합소득금액 – 정치자금기부금-고향사랑기부금-특례기부금 - 우리사주조합 기부금) × 10%] +    [(종합소득 금액 – 정치자금기부금-고향사랑기부금- 특례기부금 - 우리사주조합 기부금) × 20%와 종교단체 외에 지급한 금액 중 적은 금액]
    나. 종교단체에 기부한 금액이 없는 경우: (종합소득금액 – 정치자금기부금—고향사랑기부금 - 특례기부금 - 우리사주조합 기부금) × 30%
    해당 과세기간에 지급한 한도 내 </t>
    </r>
    <r>
      <rPr>
        <sz val="9"/>
        <color rgb="FFFF0000"/>
        <rFont val="맑은 고딕"/>
        <family val="3"/>
        <charset val="129"/>
        <scheme val="minor"/>
      </rPr>
      <t>특례기부금과 일반기부금</t>
    </r>
    <r>
      <rPr>
        <sz val="9"/>
        <color theme="1"/>
        <rFont val="맑은 고딕"/>
        <family val="3"/>
        <charset val="129"/>
        <scheme val="minor"/>
      </rPr>
      <t>을 합한 금액에서 사업소득금액을 계산할 때 필요경비에 산입한 기부금을 뺀 금액의 100분의 15(해당 금액이 1천만원을 초과하는 경우 그 초과분에 대해서는 100분의 30)에 해당하는 금액(</t>
    </r>
    <r>
      <rPr>
        <sz val="9"/>
        <color rgb="FFFF0000"/>
        <rFont val="맑은 고딕"/>
        <family val="3"/>
        <charset val="129"/>
        <scheme val="minor"/>
      </rPr>
      <t>2021년, 2022년</t>
    </r>
    <r>
      <rPr>
        <sz val="9"/>
        <color theme="1"/>
        <rFont val="맑은 고딕"/>
        <family val="3"/>
        <charset val="129"/>
        <scheme val="minor"/>
      </rPr>
      <t>에 지급한 기부금의 경우 100분의5에 해당하는 금액 추가)을 종합소득산출세액에서 공제합니다.</t>
    </r>
    <phoneticPr fontId="4" type="noConversion"/>
  </si>
  <si>
    <t xml:space="preserve"> 1. 공제항목별로 연간 지출금액(보장성보험료ㆍ의료비ㆍ교육비ㆍ주택자금ㆍ신용카드ㆍ주택마련저축 등의 경우 근로소득자가 근무기간 동안 지출한 
   금액)등을 적습니다. 이 경우 소득자는 원천징수의무자가 공제한도 등을 적용하여 계산한 금액을 특별소득공제 또는 특별세액공제를 받게 되며, 특별
   소득공제, 특별세액공제, 월세 세액공제를 신청하지 않은 사람은 연 13만원을 종합소득산출세액에서 공제(표준세액공제)받게 됩니다.
 2. 공제항목 중 작성란이 부족할 경우에는 신고서 서식을 수정하거나 별지를 이용하여 작성합니다.</t>
    <phoneticPr fontId="4" type="noConversion"/>
  </si>
  <si>
    <t>기본공제</t>
    <phoneticPr fontId="4" type="noConversion"/>
  </si>
  <si>
    <t xml:space="preserve"> 장애인증명서* 또는 장애인등록증(수첩, 복지카드) 사본*, 장애아동임을 증명할 수 있는 서류(발달재활서비스 제공기관 입소
 통지서 등)</t>
    <phoneticPr fontId="4" type="noConversion"/>
  </si>
  <si>
    <t xml:space="preserve"> 1. 주택자금상환등증명서, 장기주택저당차입금이자상환증명서, 주민등록표등본
 2. 장기주택저당차입금으로 취득한 주택의 건물 등기사항증명서 등</t>
    <phoneticPr fontId="4" type="noConversion"/>
  </si>
  <si>
    <t xml:space="preserve"> 개인 연금저축납입증명서 또는 개인 연금저축통장 사본</t>
    <phoneticPr fontId="4" type="noConversion"/>
  </si>
  <si>
    <t xml:space="preserve"> 주택마련저축납입증명서, 주민등록표등본</t>
    <phoneticPr fontId="4" type="noConversion"/>
  </si>
  <si>
    <t xml:space="preserve"> 공제부금납입증명서</t>
    <phoneticPr fontId="4" type="noConversion"/>
  </si>
  <si>
    <t xml:space="preserve"> 출자등소득공제신청서, 출자 또는 투자확인서</t>
    <phoneticPr fontId="4" type="noConversion"/>
  </si>
  <si>
    <t xml:space="preserve"> 신용카드등 사용금액에 대한 소득공제신청서, 신용카드등사용금액확인서, 대중교통 이용분 증빙자료(승차권 등) </t>
    <phoneticPr fontId="4" type="noConversion"/>
  </si>
  <si>
    <t xml:space="preserve"> 장기집합투자증권저축 납입증명서</t>
    <phoneticPr fontId="4" type="noConversion"/>
  </si>
  <si>
    <t xml:space="preserve"> 청년형 장기집합투자증권저축 납입증명서</t>
    <phoneticPr fontId="4" type="noConversion"/>
  </si>
  <si>
    <t xml:space="preserve"> 공제 관련 서류 등</t>
    <phoneticPr fontId="4" type="noConversion"/>
  </si>
  <si>
    <t xml:space="preserve"> 연금납입확인서(세액공제용)</t>
    <phoneticPr fontId="4" type="noConversion"/>
  </si>
  <si>
    <t xml:space="preserve"> 보험료납입증명서ㆍ보험료납입영수증</t>
    <phoneticPr fontId="4" type="noConversion"/>
  </si>
  <si>
    <t xml:space="preserve"> 주민등록표등본*, 가족관계증명서*(부양가족이 주거를 함께 하지 않는 경우에 제출합니다), 
 입양관계증명서*, 수급자증명서*, 가정위탁보호확인서 등</t>
    <phoneticPr fontId="4" type="noConversion"/>
  </si>
  <si>
    <t>1. 교육비납입증명서
2. 방과후 학교 수업용 도서구입 증명서(학교 외에서 구입한 초ㆍ중ㆍ고등학교의 방과후 학교 수업용 도서의 구입비가 있는 경우에 
   작성합니다)
3. 「사회복지사업법」에 따른 사회복지시설, 보건복지부장관으로부터 장애인 재활교육시설로 인정받은 비영리법인 또는 이와 
   유사한 외국시설임을 입증할 수 있는 서류
4. 국외유학인증서 등 「국외유학에 관한 규정」에 따른 자비유학자격을 입증할 수 있는 서류*</t>
    <phoneticPr fontId="4" type="noConversion"/>
  </si>
  <si>
    <r>
      <t xml:space="preserve">1. 연금계좌 세액공제, 주택마련저축ㆍ장기집합투자증권저축ㆍ중소기업창업투자조합 출자 등 소득공제를 받는 소득자에 대해서는 해당 소득ㆍ세액 
   공제에 대한 명세를 작성해야 합니다. 해당 계좌별로 납입금액과 소득ㆍ세액 공제금액을 적고, 공제금액이 영(0)인 경우에는 적지 않습니다.
 2. 퇴직연금계좌에서 "퇴직연금 구분"란은 퇴직연금{확정기여형(DC), 개인형(IRP), </t>
    </r>
    <r>
      <rPr>
        <sz val="9"/>
        <color rgb="FFFF0000"/>
        <rFont val="맑은 고딕"/>
        <family val="3"/>
        <charset val="129"/>
        <scheme val="minor"/>
      </rPr>
      <t>중소기업퇴직연금</t>
    </r>
    <r>
      <rPr>
        <sz val="9"/>
        <rFont val="맑은 고딕"/>
        <family val="3"/>
        <charset val="129"/>
        <scheme val="minor"/>
      </rPr>
      <t xml:space="preserve">}ㆍ과학기술인공제회로 구분하여 적습니다.
 3. 연금저축계좌에서 "연금저축 구분"란은 개인연금저축과 연금저축으로 구분하여 적습니다.
 4. 개인종합자산관리계좌 만기 시 연금계좌 납입액에서 “연금 구분”란은 연금저축계좌와 퇴직연금계좌로 구분하여 적습니다.
   - 개인종합자산관리계좌 만기 시 연금계좌 납입액 공제세액은 개인종합자산관리계좌의 계약기간이 만료되고 해당 계좌잔액의 전부 또는 일부를 
   연금저축계좌· 퇴직연금계좌로 납입한 경우 그 납입한 금액을 납입한 날이 속하는 과세기간의 연금계좌 납입액에 포함합니다(전환금액의 10%, 
   300만원 한도).
 5. 주택마련저축 공제의 "저축 구분"란은 청약저축, 주택청약종합저축 및 근로자주택마련저축으로 구분하여 적습니다.
 6. 중소기업창업투자조합 출자 등 소득공제의 "투자 구분"란은 벤처 등(「조세특례제한법」 제16조제1항제3호ㆍ제4호ㆍ제6호), 조합1(「조세특례제한법」 
   제16조제1항  제1호ㆍ제5호), 조합2(「조세특례제한법」 제16조제1항제2호) 로 구분하여 적습니다.
 </t>
    </r>
    <r>
      <rPr>
        <sz val="9"/>
        <color rgb="FFFF0000"/>
        <rFont val="맑은 고딕"/>
        <family val="3"/>
        <charset val="129"/>
        <scheme val="minor"/>
      </rPr>
      <t>7. 청년형 장기집합투자증권저축에서 “계약기간” 란은 계약기간을 개월 수로 적습니다.(월수 계산 시 1월 미만은 1월로 합니다.)</t>
    </r>
    <r>
      <rPr>
        <sz val="9"/>
        <rFont val="맑은 고딕"/>
        <family val="3"/>
        <charset val="129"/>
        <scheme val="minor"/>
      </rPr>
      <t xml:space="preserve">
 8. 공제금액란은 근로소득자가 적지 않을 수 있습니다.</t>
    </r>
    <phoneticPr fontId="4" type="noConversion"/>
  </si>
  <si>
    <r>
      <t xml:space="preserve">  ※  </t>
    </r>
    <r>
      <rPr>
        <sz val="9"/>
        <color theme="1"/>
        <rFont val="Microsoft YaHei"/>
        <family val="2"/>
        <charset val="134"/>
      </rPr>
      <t>㉘</t>
    </r>
    <r>
      <rPr>
        <sz val="9"/>
        <color theme="1"/>
        <rFont val="맑은 고딕"/>
        <family val="3"/>
        <charset val="129"/>
        <scheme val="major"/>
      </rPr>
      <t xml:space="preserve"> 계약서상 임대차계약기간 - 개시일과 종료일은 예시와 같이 기재 (예시) 2017.01.01.</t>
    </r>
    <phoneticPr fontId="31" type="noConversion"/>
  </si>
  <si>
    <t>㉖ 계약
면적(㎡)</t>
    <phoneticPr fontId="31" type="noConversion"/>
  </si>
  <si>
    <r>
      <rPr>
        <sz val="9"/>
        <rFont val="Microsoft YaHei"/>
        <family val="2"/>
        <charset val="134"/>
      </rPr>
      <t xml:space="preserve">㉕
</t>
    </r>
    <r>
      <rPr>
        <sz val="9"/>
        <rFont val="맑은 고딕"/>
        <family val="3"/>
        <charset val="129"/>
        <scheme val="major"/>
      </rPr>
      <t>유형</t>
    </r>
    <phoneticPr fontId="31" type="noConversion"/>
  </si>
  <si>
    <r>
      <rPr>
        <sz val="9"/>
        <rFont val="Microsoft YaHei"/>
        <family val="2"/>
        <charset val="134"/>
      </rPr>
      <t>㉘</t>
    </r>
    <r>
      <rPr>
        <sz val="9"/>
        <rFont val="맑은 고딕"/>
        <family val="3"/>
        <charset val="129"/>
        <scheme val="major"/>
      </rPr>
      <t>계약서상 임대차 계약기간</t>
    </r>
    <phoneticPr fontId="31" type="noConversion"/>
  </si>
  <si>
    <r>
      <rPr>
        <sz val="9"/>
        <rFont val="Microsoft YaHei"/>
        <family val="2"/>
        <charset val="134"/>
      </rPr>
      <t>㉙</t>
    </r>
    <r>
      <rPr>
        <sz val="9"/>
        <rFont val="맑은 고딕"/>
        <family val="3"/>
        <charset val="129"/>
        <scheme val="major"/>
      </rPr>
      <t>전세보증금
(원)</t>
    </r>
    <phoneticPr fontId="31" type="noConversion"/>
  </si>
  <si>
    <r>
      <rPr>
        <sz val="9"/>
        <color indexed="8"/>
        <rFont val="맑은 고딕"/>
        <family val="3"/>
        <charset val="129"/>
      </rPr>
      <t>⑯주민등록번호</t>
    </r>
    <phoneticPr fontId="31" type="noConversion"/>
  </si>
  <si>
    <r>
      <rPr>
        <sz val="9"/>
        <color indexed="8"/>
        <rFont val="맑은 고딕"/>
        <family val="3"/>
        <charset val="129"/>
      </rPr>
      <t>⑰ 금전소비대차 
계약기간</t>
    </r>
    <phoneticPr fontId="31" type="noConversion"/>
  </si>
  <si>
    <r>
      <rPr>
        <sz val="9"/>
        <color indexed="8"/>
        <rFont val="맑은 고딕"/>
        <family val="3"/>
        <charset val="129"/>
      </rPr>
      <t>⑱ 차입금 
이자율</t>
    </r>
    <phoneticPr fontId="31" type="noConversion"/>
  </si>
  <si>
    <r>
      <rPr>
        <sz val="9"/>
        <color indexed="8"/>
        <rFont val="맑은 고딕"/>
        <family val="3"/>
        <charset val="129"/>
      </rPr>
      <t>⑲ 계</t>
    </r>
    <phoneticPr fontId="31" type="noConversion"/>
  </si>
  <si>
    <r>
      <rPr>
        <sz val="9"/>
        <rFont val="맑은 고딕"/>
        <family val="3"/>
        <charset val="129"/>
      </rPr>
      <t>⑳ 원금</t>
    </r>
    <phoneticPr fontId="31" type="noConversion"/>
  </si>
  <si>
    <t>⑮ 대주
(貸主)</t>
    <phoneticPr fontId="4" type="noConversion"/>
  </si>
  <si>
    <r>
      <t xml:space="preserve">1. 월세액 세액공제나 거주자 간 주택임차자금 차입금 원리금 상환액 공제를 받는 근로소득자에 대해서는 해당 소득 · 세액공제에 대한 명세를 
   작성해야 합니다.
2. 해당 임대차 계약별로 연간 합계인 월세액 · 원리금 상환액과 소득 · 세액공제금액을 적으며, 공제금액이 "영(0)"인 경우에는 적지 않습니다.
3. ⑨ , </t>
    </r>
    <r>
      <rPr>
        <sz val="9"/>
        <rFont val="Microsoft YaHei"/>
        <family val="2"/>
        <charset val="134"/>
      </rPr>
      <t>㉕</t>
    </r>
    <r>
      <rPr>
        <sz val="9"/>
        <rFont val="맑은 고딕"/>
        <family val="3"/>
        <charset val="129"/>
        <scheme val="major"/>
      </rPr>
      <t xml:space="preserve"> 단독주택, 다가구주택, 다세대주택, 연립주택, 아파트, 오피스텔, 고시원, 기타 중에서 해당되는 유형의 구분코드를 적습니다.
4. </t>
    </r>
    <r>
      <rPr>
        <sz val="9"/>
        <rFont val="Microsoft YaHei"/>
        <family val="2"/>
        <charset val="134"/>
      </rPr>
      <t>㉙</t>
    </r>
    <r>
      <rPr>
        <sz val="9"/>
        <rFont val="맑은 고딕"/>
        <family val="3"/>
        <charset val="129"/>
        <scheme val="major"/>
      </rPr>
      <t xml:space="preserve"> 전세보증금은 과세기간 종료일 (12.31) 현재의 전세보증금을 적습니다.   </t>
    </r>
    <phoneticPr fontId="31" type="noConversion"/>
  </si>
  <si>
    <t>외국납부
공제</t>
    <phoneticPr fontId="4" type="noConversion"/>
  </si>
  <si>
    <t>IRP</t>
    <phoneticPr fontId="4" type="noConversion"/>
  </si>
  <si>
    <t>연금저축</t>
    <phoneticPr fontId="4" type="noConversion"/>
  </si>
  <si>
    <t xml:space="preserve">-        - </t>
  </si>
  <si>
    <t>2023.01.01~2023.12.31</t>
    <phoneticPr fontId="4" type="noConversion"/>
  </si>
  <si>
    <t xml:space="preserve"> </t>
    <phoneticPr fontId="4" type="noConversion"/>
  </si>
  <si>
    <t xml:space="preserve"> </t>
    <phoneticPr fontId="4" type="noConversion"/>
  </si>
  <si>
    <t xml:space="preserve">[  ]세대주 [   ]세대원 </t>
    <phoneticPr fontId="4" type="noConversion"/>
  </si>
  <si>
    <t>[   ]전년과 동일  [   ]변동</t>
    <phoneticPr fontId="4" type="noConversion"/>
  </si>
  <si>
    <r>
      <t xml:space="preserve">[ </t>
    </r>
    <r>
      <rPr>
        <sz val="9"/>
        <color rgb="FF000000"/>
        <rFont val="맑은 고딕"/>
        <family val="3"/>
        <charset val="129"/>
        <scheme val="minor"/>
      </rPr>
      <t xml:space="preserve"> ]거주자 [   ]비거주자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</si>
</sst>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60">
    <font>
      <sz val="11"/>
      <color theme="1"/>
      <name val="맑은 고딕"/>
      <family val="2"/>
      <charset val="129"/>
      <scheme val="minor"/>
    </font>
    <font>
      <sz val="11"/>
      <color theme="1"/>
      <name val="맑은 고딕"/>
      <family val="2"/>
      <charset val="129"/>
      <scheme val="minor"/>
    </font>
    <font>
      <sz val="11"/>
      <color theme="0"/>
      <name val="맑은 고딕"/>
      <family val="2"/>
      <charset val="129"/>
      <scheme val="minor"/>
    </font>
    <font>
      <sz val="11"/>
      <color theme="1"/>
      <name val="맑은 고딕"/>
      <family val="3"/>
      <charset val="129"/>
      <scheme val="minor"/>
    </font>
    <font>
      <sz val="8"/>
      <name val="맑은 고딕"/>
      <family val="2"/>
      <charset val="129"/>
      <scheme val="minor"/>
    </font>
    <font>
      <b/>
      <sz val="11"/>
      <color theme="1"/>
      <name val="맑은 고딕"/>
      <family val="3"/>
      <charset val="129"/>
      <scheme val="minor"/>
    </font>
    <font>
      <sz val="9"/>
      <color rgb="FF000000"/>
      <name val="맑은 고딕"/>
      <family val="3"/>
      <charset val="129"/>
      <scheme val="minor"/>
    </font>
    <font>
      <sz val="9"/>
      <color rgb="FFFF0000"/>
      <name val="맑은 고딕"/>
      <family val="3"/>
      <charset val="129"/>
      <scheme val="minor"/>
    </font>
    <font>
      <sz val="8"/>
      <color rgb="FF000000"/>
      <name val="맑은 고딕"/>
      <family val="3"/>
      <charset val="129"/>
      <scheme val="minor"/>
    </font>
    <font>
      <b/>
      <sz val="13"/>
      <color rgb="FF000000"/>
      <name val="맑은 고딕"/>
      <family val="3"/>
      <charset val="129"/>
      <scheme val="minor"/>
    </font>
    <font>
      <sz val="12"/>
      <color rgb="FF000000"/>
      <name val="맑은 고딕"/>
      <family val="3"/>
      <charset val="129"/>
      <scheme val="minor"/>
    </font>
    <font>
      <sz val="10"/>
      <color rgb="FF000000"/>
      <name val="맑은 고딕"/>
      <family val="3"/>
      <charset val="129"/>
      <scheme val="minor"/>
    </font>
    <font>
      <sz val="8.5"/>
      <color rgb="FF000000"/>
      <name val="맑은 고딕"/>
      <family val="3"/>
      <charset val="129"/>
      <scheme val="minor"/>
    </font>
    <font>
      <sz val="7"/>
      <color rgb="FF000000"/>
      <name val="맑은 고딕"/>
      <family val="3"/>
      <charset val="129"/>
      <scheme val="minor"/>
    </font>
    <font>
      <sz val="8"/>
      <color rgb="FFFF0000"/>
      <name val="맑은 고딕"/>
      <family val="3"/>
      <charset val="129"/>
      <scheme val="minor"/>
    </font>
    <font>
      <sz val="7.5"/>
      <color rgb="FF000000"/>
      <name val="맑은 고딕"/>
      <family val="3"/>
      <charset val="129"/>
      <scheme val="minor"/>
    </font>
    <font>
      <sz val="6.5"/>
      <color rgb="FF000000"/>
      <name val="맑은 고딕"/>
      <family val="3"/>
      <charset val="129"/>
      <scheme val="minor"/>
    </font>
    <font>
      <sz val="7"/>
      <color rgb="FFFF0000"/>
      <name val="맑은 고딕"/>
      <family val="3"/>
      <charset val="129"/>
      <scheme val="minor"/>
    </font>
    <font>
      <sz val="6"/>
      <color theme="1"/>
      <name val="맑은 고딕"/>
      <family val="3"/>
      <charset val="129"/>
      <scheme val="minor"/>
    </font>
    <font>
      <sz val="8"/>
      <color theme="1"/>
      <name val="맑은 고딕"/>
      <family val="3"/>
      <charset val="129"/>
      <scheme val="minor"/>
    </font>
    <font>
      <sz val="9"/>
      <color theme="1"/>
      <name val="맑은 고딕"/>
      <family val="3"/>
      <charset val="129"/>
      <scheme val="minor"/>
    </font>
    <font>
      <sz val="7"/>
      <color theme="1"/>
      <name val="맑은 고딕"/>
      <family val="3"/>
      <charset val="129"/>
      <scheme val="minor"/>
    </font>
    <font>
      <b/>
      <sz val="10"/>
      <color theme="1"/>
      <name val="맑은 고딕"/>
      <family val="3"/>
      <charset val="129"/>
      <scheme val="minor"/>
    </font>
    <font>
      <sz val="8.5"/>
      <color theme="1"/>
      <name val="맑은 고딕"/>
      <family val="3"/>
      <charset val="129"/>
      <scheme val="minor"/>
    </font>
    <font>
      <sz val="10"/>
      <color theme="1"/>
      <name val="맑은 고딕"/>
      <family val="3"/>
      <charset val="129"/>
      <scheme val="minor"/>
    </font>
    <font>
      <sz val="9"/>
      <name val="맑은 고딕"/>
      <family val="3"/>
      <charset val="129"/>
      <scheme val="minor"/>
    </font>
    <font>
      <sz val="10"/>
      <name val="맑은 고딕"/>
      <family val="3"/>
      <charset val="129"/>
      <scheme val="minor"/>
    </font>
    <font>
      <sz val="10"/>
      <color rgb="FFFF0000"/>
      <name val="맑은 고딕"/>
      <family val="3"/>
      <charset val="129"/>
      <scheme val="minor"/>
    </font>
    <font>
      <b/>
      <sz val="9"/>
      <color theme="1"/>
      <name val="맑은 고딕"/>
      <family val="3"/>
      <charset val="129"/>
      <scheme val="minor"/>
    </font>
    <font>
      <sz val="7.5"/>
      <color theme="1"/>
      <name val="맑은 고딕"/>
      <family val="3"/>
      <charset val="129"/>
      <scheme val="minor"/>
    </font>
    <font>
      <b/>
      <sz val="10"/>
      <name val="맑은 고딕"/>
      <family val="3"/>
      <charset val="129"/>
      <scheme val="major"/>
    </font>
    <font>
      <sz val="8"/>
      <name val="돋움"/>
      <family val="3"/>
      <charset val="129"/>
    </font>
    <font>
      <b/>
      <sz val="11"/>
      <name val="맑은 고딕"/>
      <family val="3"/>
      <charset val="129"/>
      <scheme val="major"/>
    </font>
    <font>
      <b/>
      <sz val="16"/>
      <name val="맑은 고딕"/>
      <family val="3"/>
      <charset val="129"/>
      <scheme val="major"/>
    </font>
    <font>
      <b/>
      <sz val="10"/>
      <color rgb="FFFF0000"/>
      <name val="맑은 고딕"/>
      <family val="3"/>
      <charset val="129"/>
      <scheme val="minor"/>
    </font>
    <font>
      <b/>
      <sz val="15"/>
      <name val="맑은 고딕"/>
      <family val="3"/>
      <charset val="129"/>
      <scheme val="major"/>
    </font>
    <font>
      <sz val="12"/>
      <name val="맑은 고딕"/>
      <family val="3"/>
      <charset val="129"/>
      <scheme val="major"/>
    </font>
    <font>
      <sz val="8.5"/>
      <name val="맑은 고딕"/>
      <family val="3"/>
      <charset val="129"/>
      <scheme val="major"/>
    </font>
    <font>
      <sz val="8"/>
      <name val="맑은 고딕"/>
      <family val="3"/>
      <charset val="129"/>
      <scheme val="major"/>
    </font>
    <font>
      <sz val="10"/>
      <name val="맑은 고딕"/>
      <family val="3"/>
      <charset val="129"/>
      <scheme val="major"/>
    </font>
    <font>
      <sz val="11"/>
      <name val="맑은 고딕"/>
      <family val="3"/>
      <charset val="129"/>
      <scheme val="major"/>
    </font>
    <font>
      <b/>
      <sz val="12"/>
      <name val="맑은 고딕"/>
      <family val="3"/>
      <charset val="129"/>
      <scheme val="major"/>
    </font>
    <font>
      <b/>
      <sz val="14"/>
      <color rgb="FF0000FF"/>
      <name val="맑은 고딕"/>
      <family val="3"/>
      <charset val="129"/>
      <scheme val="minor"/>
    </font>
    <font>
      <sz val="16"/>
      <color theme="1"/>
      <name val="맑은 고딕"/>
      <family val="2"/>
      <charset val="129"/>
      <scheme val="minor"/>
    </font>
    <font>
      <b/>
      <u/>
      <sz val="11"/>
      <color theme="1"/>
      <name val="맑은 고딕"/>
      <family val="3"/>
      <charset val="129"/>
      <scheme val="minor"/>
    </font>
    <font>
      <b/>
      <u/>
      <sz val="11"/>
      <color rgb="FF0000FF"/>
      <name val="맑은 고딕"/>
      <family val="3"/>
      <charset val="129"/>
      <scheme val="minor"/>
    </font>
    <font>
      <sz val="11"/>
      <color theme="0"/>
      <name val="맑은 고딕"/>
      <family val="3"/>
      <charset val="129"/>
      <scheme val="minor"/>
    </font>
    <font>
      <b/>
      <sz val="16"/>
      <color theme="1"/>
      <name val="맑은 고딕"/>
      <family val="3"/>
      <charset val="129"/>
      <scheme val="minor"/>
    </font>
    <font>
      <sz val="9"/>
      <color rgb="FFFF0000"/>
      <name val="KaiTi"/>
      <family val="3"/>
      <charset val="134"/>
    </font>
    <font>
      <sz val="9"/>
      <color rgb="FF0000FF"/>
      <name val="맑은 고딕"/>
      <family val="3"/>
      <charset val="129"/>
      <scheme val="minor"/>
    </font>
    <font>
      <sz val="9"/>
      <color rgb="FFFF0000"/>
      <name val="맑은 고딕"/>
      <family val="3"/>
      <charset val="128"/>
      <scheme val="minor"/>
    </font>
    <font>
      <sz val="9"/>
      <name val="맑은 고딕"/>
      <family val="3"/>
      <charset val="129"/>
      <scheme val="major"/>
    </font>
    <font>
      <sz val="9"/>
      <color theme="1"/>
      <name val="맑은 고딕"/>
      <family val="3"/>
      <charset val="129"/>
      <scheme val="major"/>
    </font>
    <font>
      <sz val="9"/>
      <color theme="1"/>
      <name val="Microsoft YaHei"/>
      <family val="2"/>
      <charset val="134"/>
    </font>
    <font>
      <sz val="9"/>
      <name val="맑은 고딕"/>
      <family val="2"/>
      <charset val="134"/>
      <scheme val="major"/>
    </font>
    <font>
      <sz val="9"/>
      <name val="Microsoft YaHei"/>
      <family val="2"/>
      <charset val="134"/>
    </font>
    <font>
      <sz val="9"/>
      <color rgb="FF000000"/>
      <name val="맑은 고딕"/>
      <family val="3"/>
      <charset val="129"/>
      <scheme val="major"/>
    </font>
    <font>
      <sz val="9"/>
      <color indexed="8"/>
      <name val="맑은 고딕"/>
      <family val="3"/>
      <charset val="129"/>
    </font>
    <font>
      <sz val="9"/>
      <name val="맑은 고딕"/>
      <family val="3"/>
      <charset val="129"/>
    </font>
    <font>
      <b/>
      <sz val="8"/>
      <color theme="1"/>
      <name val="맑은 고딕"/>
      <family val="3"/>
      <charset val="129"/>
      <scheme val="minor"/>
    </font>
  </fonts>
  <fills count="8">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BBBBBB"/>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s>
  <borders count="220">
    <border>
      <left/>
      <right/>
      <top/>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top/>
      <bottom style="thin">
        <color indexed="64"/>
      </bottom>
      <diagonal/>
    </border>
    <border>
      <left/>
      <right style="hair">
        <color theme="1" tint="0.34998626667073579"/>
      </right>
      <top/>
      <bottom style="hair">
        <color theme="1" tint="0.34998626667073579"/>
      </bottom>
      <diagonal/>
    </border>
    <border>
      <left style="hair">
        <color theme="1" tint="0.34998626667073579"/>
      </left>
      <right style="hair">
        <color theme="1" tint="0.34998626667073579"/>
      </right>
      <top/>
      <bottom style="hair">
        <color theme="1" tint="0.34998626667073579"/>
      </bottom>
      <diagonal/>
    </border>
    <border>
      <left style="hair">
        <color theme="1" tint="0.34998626667073579"/>
      </left>
      <right/>
      <top/>
      <bottom style="hair">
        <color theme="1" tint="0.34998626667073579"/>
      </bottom>
      <diagonal/>
    </border>
    <border>
      <left/>
      <right style="hair">
        <color theme="1" tint="0.34998626667073579"/>
      </right>
      <top style="hair">
        <color theme="1" tint="0.34998626667073579"/>
      </top>
      <bottom/>
      <diagonal/>
    </border>
    <border>
      <left style="hair">
        <color theme="1" tint="0.34998626667073579"/>
      </left>
      <right style="hair">
        <color theme="1" tint="0.34998626667073579"/>
      </right>
      <top style="hair">
        <color theme="1" tint="0.34998626667073579"/>
      </top>
      <bottom/>
      <diagonal/>
    </border>
    <border>
      <left style="hair">
        <color theme="1" tint="0.34998626667073579"/>
      </left>
      <right/>
      <top style="hair">
        <color theme="1" tint="0.34998626667073579"/>
      </top>
      <bottom/>
      <diagonal/>
    </border>
    <border>
      <left style="thin">
        <color rgb="FFFF0000"/>
      </left>
      <right style="hair">
        <color theme="1" tint="0.34998626667073579"/>
      </right>
      <top style="thin">
        <color rgb="FFFF0000"/>
      </top>
      <bottom style="hair">
        <color theme="1" tint="0.34998626667073579"/>
      </bottom>
      <diagonal/>
    </border>
    <border>
      <left style="hair">
        <color theme="1" tint="0.34998626667073579"/>
      </left>
      <right style="hair">
        <color theme="1" tint="0.34998626667073579"/>
      </right>
      <top style="thin">
        <color rgb="FFFF0000"/>
      </top>
      <bottom style="hair">
        <color theme="1" tint="0.34998626667073579"/>
      </bottom>
      <diagonal/>
    </border>
    <border>
      <left style="hair">
        <color theme="1" tint="0.34998626667073579"/>
      </left>
      <right style="thin">
        <color rgb="FFFF0000"/>
      </right>
      <top style="thin">
        <color rgb="FFFF0000"/>
      </top>
      <bottom style="hair">
        <color theme="1" tint="0.34998626667073579"/>
      </bottom>
      <diagonal/>
    </border>
    <border>
      <left style="thin">
        <color rgb="FFFF0000"/>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thin">
        <color rgb="FFFF0000"/>
      </right>
      <top style="hair">
        <color theme="1" tint="0.34998626667073579"/>
      </top>
      <bottom style="hair">
        <color theme="1" tint="0.34998626667073579"/>
      </bottom>
      <diagonal/>
    </border>
    <border>
      <left style="thin">
        <color rgb="FFFF0000"/>
      </left>
      <right style="hair">
        <color theme="1" tint="0.34998626667073579"/>
      </right>
      <top style="hair">
        <color theme="1" tint="0.34998626667073579"/>
      </top>
      <bottom style="thin">
        <color rgb="FFFF0000"/>
      </bottom>
      <diagonal/>
    </border>
    <border>
      <left style="hair">
        <color theme="1" tint="0.34998626667073579"/>
      </left>
      <right style="hair">
        <color theme="1" tint="0.34998626667073579"/>
      </right>
      <top style="hair">
        <color theme="1" tint="0.34998626667073579"/>
      </top>
      <bottom style="thin">
        <color rgb="FFFF0000"/>
      </bottom>
      <diagonal/>
    </border>
    <border>
      <left style="hair">
        <color theme="1" tint="0.34998626667073579"/>
      </left>
      <right style="thin">
        <color rgb="FFFF0000"/>
      </right>
      <top style="hair">
        <color theme="1" tint="0.34998626667073579"/>
      </top>
      <bottom style="thin">
        <color rgb="FFFF0000"/>
      </bottom>
      <diagonal/>
    </border>
    <border>
      <left/>
      <right style="hair">
        <color theme="1" tint="0.34998626667073579"/>
      </right>
      <top style="hair">
        <color theme="1" tint="0.34998626667073579"/>
      </top>
      <bottom style="hair">
        <color theme="1" tint="0.34998626667073579"/>
      </bottom>
      <diagonal/>
    </border>
    <border>
      <left style="hair">
        <color theme="1" tint="0.34998626667073579"/>
      </left>
      <right/>
      <top style="hair">
        <color theme="1" tint="0.34998626667073579"/>
      </top>
      <bottom style="hair">
        <color theme="1" tint="0.34998626667073579"/>
      </bottom>
      <diagonal/>
    </border>
    <border>
      <left/>
      <right style="hair">
        <color theme="1" tint="0.34998626667073579"/>
      </right>
      <top style="hair">
        <color theme="1" tint="0.34998626667073579"/>
      </top>
      <bottom style="thin">
        <color indexed="64"/>
      </bottom>
      <diagonal/>
    </border>
    <border>
      <left style="hair">
        <color theme="1" tint="0.34998626667073579"/>
      </left>
      <right style="hair">
        <color theme="1" tint="0.34998626667073579"/>
      </right>
      <top style="hair">
        <color theme="1" tint="0.34998626667073579"/>
      </top>
      <bottom style="thin">
        <color indexed="64"/>
      </bottom>
      <diagonal/>
    </border>
    <border>
      <left style="hair">
        <color theme="1" tint="0.34998626667073579"/>
      </left>
      <right/>
      <top style="hair">
        <color theme="1" tint="0.34998626667073579"/>
      </top>
      <bottom style="thin">
        <color indexed="64"/>
      </bottom>
      <diagonal/>
    </border>
    <border>
      <left/>
      <right style="hair">
        <color theme="1" tint="0.34998626667073579"/>
      </right>
      <top style="thin">
        <color indexed="64"/>
      </top>
      <bottom style="hair">
        <color theme="1" tint="0.34998626667073579"/>
      </bottom>
      <diagonal/>
    </border>
    <border>
      <left style="hair">
        <color theme="1" tint="0.34998626667073579"/>
      </left>
      <right style="hair">
        <color theme="1" tint="0.34998626667073579"/>
      </right>
      <top style="thin">
        <color indexed="64"/>
      </top>
      <bottom/>
      <diagonal/>
    </border>
    <border>
      <left style="hair">
        <color theme="1" tint="0.34998626667073579"/>
      </left>
      <right style="hair">
        <color theme="1" tint="0.34998626667073579"/>
      </right>
      <top style="thin">
        <color indexed="64"/>
      </top>
      <bottom style="hair">
        <color theme="1" tint="0.34998626667073579"/>
      </bottom>
      <diagonal/>
    </border>
    <border>
      <left style="hair">
        <color theme="1" tint="0.34998626667073579"/>
      </left>
      <right/>
      <top style="thin">
        <color indexed="64"/>
      </top>
      <bottom style="hair">
        <color theme="1" tint="0.34998626667073579"/>
      </bottom>
      <diagonal/>
    </border>
    <border>
      <left/>
      <right/>
      <top style="hair">
        <color theme="1" tint="0.34998626667073579"/>
      </top>
      <bottom style="hair">
        <color theme="1" tint="0.34998626667073579"/>
      </bottom>
      <diagonal/>
    </border>
    <border>
      <left style="thin">
        <color rgb="FFFF0000"/>
      </left>
      <right style="hair">
        <color theme="1"/>
      </right>
      <top style="thin">
        <color rgb="FFFF0000"/>
      </top>
      <bottom style="hair">
        <color theme="1"/>
      </bottom>
      <diagonal/>
    </border>
    <border>
      <left style="hair">
        <color theme="1"/>
      </left>
      <right style="hair">
        <color theme="1"/>
      </right>
      <top style="thin">
        <color rgb="FFFF0000"/>
      </top>
      <bottom style="hair">
        <color theme="1"/>
      </bottom>
      <diagonal/>
    </border>
    <border>
      <left style="hair">
        <color theme="1"/>
      </left>
      <right style="thin">
        <color rgb="FFFF0000"/>
      </right>
      <top style="thin">
        <color rgb="FFFF0000"/>
      </top>
      <bottom style="hair">
        <color theme="1"/>
      </bottom>
      <diagonal/>
    </border>
    <border>
      <left style="thin">
        <color rgb="FFFF0000"/>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rgb="FFFF0000"/>
      </right>
      <top style="hair">
        <color theme="1"/>
      </top>
      <bottom style="hair">
        <color theme="1"/>
      </bottom>
      <diagonal/>
    </border>
    <border>
      <left style="hair">
        <color theme="1" tint="0.34998626667073579"/>
      </left>
      <right/>
      <top style="hair">
        <color theme="1" tint="0.34998626667073579"/>
      </top>
      <bottom style="thin">
        <color theme="1" tint="0.499984740745262"/>
      </bottom>
      <diagonal/>
    </border>
    <border>
      <left/>
      <right style="hair">
        <color theme="1" tint="0.34998626667073579"/>
      </right>
      <top style="hair">
        <color theme="1" tint="0.34998626667073579"/>
      </top>
      <bottom style="thin">
        <color theme="1" tint="0.499984740745262"/>
      </bottom>
      <diagonal/>
    </border>
    <border>
      <left/>
      <right/>
      <top style="hair">
        <color theme="1" tint="0.34998626667073579"/>
      </top>
      <bottom style="thin">
        <color theme="1" tint="0.499984740745262"/>
      </bottom>
      <diagonal/>
    </border>
    <border>
      <left style="hair">
        <color theme="1"/>
      </left>
      <right/>
      <top style="hair">
        <color theme="1"/>
      </top>
      <bottom style="hair">
        <color theme="1"/>
      </bottom>
      <diagonal/>
    </border>
    <border>
      <left/>
      <right/>
      <top style="hair">
        <color theme="1"/>
      </top>
      <bottom style="hair">
        <color theme="1"/>
      </bottom>
      <diagonal/>
    </border>
    <border>
      <left/>
      <right style="hair">
        <color theme="1"/>
      </right>
      <top style="hair">
        <color theme="1"/>
      </top>
      <bottom style="hair">
        <color theme="1"/>
      </bottom>
      <diagonal/>
    </border>
    <border>
      <left style="hair">
        <color theme="1"/>
      </left>
      <right/>
      <top style="hair">
        <color theme="1"/>
      </top>
      <bottom/>
      <diagonal/>
    </border>
    <border>
      <left/>
      <right/>
      <top style="hair">
        <color theme="1"/>
      </top>
      <bottom/>
      <diagonal/>
    </border>
    <border>
      <left/>
      <right style="hair">
        <color theme="1"/>
      </right>
      <top style="hair">
        <color theme="1"/>
      </top>
      <bottom/>
      <diagonal/>
    </border>
    <border>
      <left/>
      <right style="hair">
        <color theme="1" tint="0.34998626667073579"/>
      </right>
      <top style="thin">
        <color theme="1" tint="0.499984740745262"/>
      </top>
      <bottom style="hair">
        <color theme="1" tint="0.34998626667073579"/>
      </bottom>
      <diagonal/>
    </border>
    <border>
      <left style="hair">
        <color theme="1" tint="0.34998626667073579"/>
      </left>
      <right style="hair">
        <color theme="1" tint="0.34998626667073579"/>
      </right>
      <top style="thin">
        <color theme="1" tint="0.499984740745262"/>
      </top>
      <bottom style="hair">
        <color theme="1" tint="0.34998626667073579"/>
      </bottom>
      <diagonal/>
    </border>
    <border>
      <left style="hair">
        <color theme="1" tint="0.34998626667073579"/>
      </left>
      <right/>
      <top style="thin">
        <color theme="1" tint="0.499984740745262"/>
      </top>
      <bottom style="hair">
        <color theme="1" tint="0.34998626667073579"/>
      </bottom>
      <diagonal/>
    </border>
    <border>
      <left/>
      <right/>
      <top style="thin">
        <color theme="1" tint="0.499984740745262"/>
      </top>
      <bottom style="hair">
        <color theme="1" tint="0.34998626667073579"/>
      </bottom>
      <diagonal/>
    </border>
    <border>
      <left style="hair">
        <color theme="1"/>
      </left>
      <right/>
      <top/>
      <bottom style="hair">
        <color theme="1"/>
      </bottom>
      <diagonal/>
    </border>
    <border>
      <left/>
      <right/>
      <top/>
      <bottom style="hair">
        <color theme="1"/>
      </bottom>
      <diagonal/>
    </border>
    <border>
      <left/>
      <right style="hair">
        <color theme="1"/>
      </right>
      <top/>
      <bottom style="hair">
        <color theme="1"/>
      </bottom>
      <diagonal/>
    </border>
    <border>
      <left style="hair">
        <color theme="1" tint="0.34998626667073579"/>
      </left>
      <right style="hair">
        <color theme="1" tint="0.34998626667073579"/>
      </right>
      <top style="hair">
        <color theme="1" tint="0.34998626667073579"/>
      </top>
      <bottom style="thin">
        <color theme="1" tint="0.499984740745262"/>
      </bottom>
      <diagonal/>
    </border>
    <border>
      <left style="thin">
        <color rgb="FFFF0000"/>
      </left>
      <right style="hair">
        <color theme="1"/>
      </right>
      <top style="hair">
        <color theme="1"/>
      </top>
      <bottom style="thin">
        <color rgb="FFFF0000"/>
      </bottom>
      <diagonal/>
    </border>
    <border>
      <left style="hair">
        <color theme="1"/>
      </left>
      <right/>
      <top style="hair">
        <color theme="1"/>
      </top>
      <bottom style="thin">
        <color rgb="FFFF0000"/>
      </bottom>
      <diagonal/>
    </border>
    <border>
      <left/>
      <right/>
      <top style="hair">
        <color theme="1"/>
      </top>
      <bottom style="thin">
        <color rgb="FFFF0000"/>
      </bottom>
      <diagonal/>
    </border>
    <border>
      <left/>
      <right style="hair">
        <color theme="1"/>
      </right>
      <top style="hair">
        <color theme="1"/>
      </top>
      <bottom style="thin">
        <color rgb="FFFF0000"/>
      </bottom>
      <diagonal/>
    </border>
    <border>
      <left style="hair">
        <color theme="1"/>
      </left>
      <right/>
      <top/>
      <bottom style="thin">
        <color rgb="FFFF0000"/>
      </bottom>
      <diagonal/>
    </border>
    <border>
      <left/>
      <right/>
      <top/>
      <bottom style="thin">
        <color rgb="FFFF0000"/>
      </bottom>
      <diagonal/>
    </border>
    <border>
      <left/>
      <right style="hair">
        <color theme="1"/>
      </right>
      <top/>
      <bottom style="thin">
        <color rgb="FFFF0000"/>
      </bottom>
      <diagonal/>
    </border>
    <border>
      <left style="hair">
        <color theme="1"/>
      </left>
      <right style="hair">
        <color theme="1"/>
      </right>
      <top style="hair">
        <color theme="1"/>
      </top>
      <bottom style="thin">
        <color rgb="FFFF0000"/>
      </bottom>
      <diagonal/>
    </border>
    <border>
      <left style="hair">
        <color theme="1"/>
      </left>
      <right style="thin">
        <color rgb="FFFF0000"/>
      </right>
      <top style="hair">
        <color theme="1"/>
      </top>
      <bottom style="thin">
        <color rgb="FFFF0000"/>
      </bottom>
      <diagonal/>
    </border>
    <border>
      <left/>
      <right/>
      <top style="hair">
        <color theme="1" tint="0.34998626667073579"/>
      </top>
      <bottom style="thin">
        <color indexed="64"/>
      </bottom>
      <diagonal/>
    </border>
    <border>
      <left style="hair">
        <color theme="1" tint="0.34998626667073579"/>
      </left>
      <right style="hair">
        <color theme="1" tint="0.34998626667073579"/>
      </right>
      <top/>
      <bottom style="thin">
        <color indexed="64"/>
      </bottom>
      <diagonal/>
    </border>
    <border>
      <left style="hair">
        <color theme="1" tint="0.34998626667073579"/>
      </left>
      <right/>
      <top/>
      <bottom style="thin">
        <color indexed="64"/>
      </bottom>
      <diagonal/>
    </border>
    <border>
      <left style="hair">
        <color theme="1" tint="0.34998626667073579"/>
      </left>
      <right style="thin">
        <color theme="1" tint="0.34998626667073579"/>
      </right>
      <top style="thin">
        <color indexed="64"/>
      </top>
      <bottom style="thin">
        <color theme="1" tint="0.34998626667073579"/>
      </bottom>
      <diagonal/>
    </border>
    <border>
      <left style="thin">
        <color theme="1" tint="0.34998626667073579"/>
      </left>
      <right style="thin">
        <color theme="1" tint="0.34998626667073579"/>
      </right>
      <top style="thin">
        <color indexed="64"/>
      </top>
      <bottom style="thin">
        <color theme="1" tint="0.34998626667073579"/>
      </bottom>
      <diagonal/>
    </border>
    <border>
      <left style="hair">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hair">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style="thin">
        <color theme="1" tint="0.34998626667073579"/>
      </top>
      <bottom style="thin">
        <color indexed="64"/>
      </bottom>
      <diagonal/>
    </border>
    <border>
      <left style="hair">
        <color theme="1" tint="0.34998626667073579"/>
      </left>
      <right/>
      <top style="thin">
        <color indexed="64"/>
      </top>
      <bottom/>
      <diagonal/>
    </border>
    <border>
      <left/>
      <right style="hair">
        <color theme="1" tint="0.34998626667073579"/>
      </right>
      <top style="thin">
        <color indexed="64"/>
      </top>
      <bottom/>
      <diagonal/>
    </border>
    <border>
      <left/>
      <right/>
      <top style="thin">
        <color indexed="64"/>
      </top>
      <bottom/>
      <diagonal/>
    </border>
    <border>
      <left/>
      <right/>
      <top style="thin">
        <color auto="1"/>
      </top>
      <bottom style="hair">
        <color auto="1"/>
      </bottom>
      <diagonal/>
    </border>
    <border>
      <left/>
      <right style="hair">
        <color theme="1" tint="0.34998626667073579"/>
      </right>
      <top/>
      <bottom style="thin">
        <color indexed="64"/>
      </bottom>
      <diagonal/>
    </border>
    <border>
      <left style="hair">
        <color theme="1" tint="0.34998626667073579"/>
      </left>
      <right/>
      <top/>
      <bottom/>
      <diagonal/>
    </border>
    <border>
      <left/>
      <right style="hair">
        <color theme="1" tint="0.34998626667073579"/>
      </right>
      <top/>
      <bottom/>
      <diagonal/>
    </border>
    <border>
      <left style="hair">
        <color theme="1" tint="0.34998626667073579"/>
      </left>
      <right/>
      <top style="thin">
        <color theme="1" tint="0.34998626667073579"/>
      </top>
      <bottom/>
      <diagonal/>
    </border>
    <border>
      <left/>
      <right style="hair">
        <color theme="1" tint="0.34998626667073579"/>
      </right>
      <top style="thin">
        <color theme="1" tint="0.34998626667073579"/>
      </top>
      <bottom/>
      <diagonal/>
    </border>
    <border>
      <left/>
      <right style="hair">
        <color theme="1" tint="0.34998626667073579"/>
      </right>
      <top style="hair">
        <color theme="1" tint="0.34998626667073579"/>
      </top>
      <bottom style="medium">
        <color indexed="64"/>
      </bottom>
      <diagonal/>
    </border>
    <border>
      <left style="hair">
        <color theme="1" tint="0.34998626667073579"/>
      </left>
      <right/>
      <top/>
      <bottom style="medium">
        <color indexed="64"/>
      </bottom>
      <diagonal/>
    </border>
    <border>
      <left/>
      <right style="hair">
        <color theme="1" tint="0.34998626667073579"/>
      </right>
      <top/>
      <bottom style="medium">
        <color indexed="64"/>
      </bottom>
      <diagonal/>
    </border>
    <border>
      <left style="hair">
        <color theme="1" tint="0.34998626667073579"/>
      </left>
      <right/>
      <top style="hair">
        <color theme="1" tint="0.34998626667073579"/>
      </top>
      <bottom style="medium">
        <color indexed="64"/>
      </bottom>
      <diagonal/>
    </border>
    <border>
      <left/>
      <right/>
      <top style="hair">
        <color theme="1" tint="0.34998626667073579"/>
      </top>
      <bottom style="medium">
        <color indexed="64"/>
      </bottom>
      <diagonal/>
    </border>
    <border>
      <left/>
      <right/>
      <top/>
      <bottom style="medium">
        <color indexed="64"/>
      </bottom>
      <diagonal/>
    </border>
    <border>
      <left style="hair">
        <color theme="1" tint="0.34998626667073579"/>
      </left>
      <right style="hair">
        <color theme="1" tint="0.34998626667073579"/>
      </right>
      <top/>
      <bottom/>
      <diagonal/>
    </border>
    <border>
      <left/>
      <right/>
      <top/>
      <bottom style="thin">
        <color theme="1" tint="0.34998626667073579"/>
      </bottom>
      <diagonal/>
    </border>
    <border>
      <left/>
      <right style="hair">
        <color theme="1" tint="0.34998626667073579"/>
      </right>
      <top style="thin">
        <color indexed="64"/>
      </top>
      <bottom style="thin">
        <color indexed="64"/>
      </bottom>
      <diagonal/>
    </border>
    <border>
      <left style="hair">
        <color theme="1" tint="0.34998626667073579"/>
      </left>
      <right style="hair">
        <color theme="1" tint="0.34998626667073579"/>
      </right>
      <top style="thin">
        <color indexed="64"/>
      </top>
      <bottom style="thin">
        <color indexed="64"/>
      </bottom>
      <diagonal/>
    </border>
    <border>
      <left style="hair">
        <color theme="1" tint="0.34998626667073579"/>
      </left>
      <right/>
      <top style="thin">
        <color indexed="64"/>
      </top>
      <bottom style="thin">
        <color indexed="64"/>
      </bottom>
      <diagonal/>
    </border>
    <border>
      <left/>
      <right/>
      <top style="hair">
        <color theme="1" tint="0.34998626667073579"/>
      </top>
      <bottom/>
      <diagonal/>
    </border>
    <border>
      <left/>
      <right/>
      <top/>
      <bottom style="hair">
        <color theme="1" tint="0.34998626667073579"/>
      </bottom>
      <diagonal/>
    </border>
    <border>
      <left style="thin">
        <color rgb="FFFF0000"/>
      </left>
      <right/>
      <top style="thin">
        <color rgb="FFFF0000"/>
      </top>
      <bottom style="medium">
        <color rgb="FFFF0000"/>
      </bottom>
      <diagonal/>
    </border>
    <border>
      <left/>
      <right/>
      <top style="thin">
        <color rgb="FFFF0000"/>
      </top>
      <bottom style="medium">
        <color rgb="FFFF0000"/>
      </bottom>
      <diagonal/>
    </border>
    <border>
      <left/>
      <right style="thin">
        <color rgb="FFFF0000"/>
      </right>
      <top style="thin">
        <color rgb="FFFF0000"/>
      </top>
      <bottom style="medium">
        <color rgb="FFFF0000"/>
      </bottom>
      <diagonal/>
    </border>
    <border>
      <left style="hair">
        <color theme="1" tint="0.34998626667073579"/>
      </left>
      <right style="hair">
        <color theme="1" tint="0.34998626667073579"/>
      </right>
      <top style="hair">
        <color theme="1" tint="0.34998626667073579"/>
      </top>
      <bottom style="medium">
        <color indexed="64"/>
      </bottom>
      <diagonal/>
    </border>
    <border>
      <left/>
      <right style="hair">
        <color theme="1" tint="0.34998626667073579"/>
      </right>
      <top style="medium">
        <color indexed="64"/>
      </top>
      <bottom style="thin">
        <color indexed="64"/>
      </bottom>
      <diagonal/>
    </border>
    <border>
      <left style="hair">
        <color theme="1" tint="0.34998626667073579"/>
      </left>
      <right style="hair">
        <color theme="1" tint="0.34998626667073579"/>
      </right>
      <top style="medium">
        <color indexed="64"/>
      </top>
      <bottom style="thin">
        <color indexed="64"/>
      </bottom>
      <diagonal/>
    </border>
    <border>
      <left style="hair">
        <color theme="1" tint="0.34998626667073579"/>
      </left>
      <right/>
      <top style="medium">
        <color indexed="64"/>
      </top>
      <bottom style="thin">
        <color indexed="64"/>
      </bottom>
      <diagonal/>
    </border>
    <border>
      <left/>
      <right style="hair">
        <color theme="1" tint="0.499984740745262"/>
      </right>
      <top style="medium">
        <color theme="1" tint="0.499984740745262"/>
      </top>
      <bottom style="hair">
        <color theme="1" tint="0.499984740745262"/>
      </bottom>
      <diagonal/>
    </border>
    <border>
      <left style="hair">
        <color theme="1" tint="0.499984740745262"/>
      </left>
      <right style="hair">
        <color theme="1" tint="0.499984740745262"/>
      </right>
      <top style="medium">
        <color theme="1" tint="0.499984740745262"/>
      </top>
      <bottom style="hair">
        <color theme="1" tint="0.499984740745262"/>
      </bottom>
      <diagonal/>
    </border>
    <border>
      <left style="hair">
        <color theme="1" tint="0.499984740745262"/>
      </left>
      <right/>
      <top style="medium">
        <color theme="1" tint="0.499984740745262"/>
      </top>
      <bottom style="hair">
        <color theme="1" tint="0.499984740745262"/>
      </bottom>
      <diagonal/>
    </border>
    <border>
      <left/>
      <right style="hair">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top style="hair">
        <color theme="1" tint="0.499984740745262"/>
      </top>
      <bottom/>
      <diagonal/>
    </border>
    <border>
      <left/>
      <right style="hair">
        <color theme="1" tint="0.499984740745262"/>
      </right>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top style="hair">
        <color theme="1" tint="0.499984740745262"/>
      </top>
      <bottom/>
      <diagonal/>
    </border>
    <border>
      <left/>
      <right/>
      <top/>
      <bottom style="hair">
        <color theme="1" tint="0.499984740745262"/>
      </bottom>
      <diagonal/>
    </border>
    <border>
      <left/>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theme="1" tint="0.499984740745262"/>
      </right>
      <top style="thin">
        <color theme="1" tint="0.499984740745262"/>
      </top>
      <bottom/>
      <diagonal/>
    </border>
    <border>
      <left style="hair">
        <color theme="1" tint="0.499984740745262"/>
      </left>
      <right style="hair">
        <color theme="1" tint="0.499984740745262"/>
      </right>
      <top style="thin">
        <color theme="1" tint="0.499984740745262"/>
      </top>
      <bottom/>
      <diagonal/>
    </border>
    <border>
      <left style="hair">
        <color theme="1" tint="0.499984740745262"/>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right style="hair">
        <color theme="1" tint="0.499984740745262"/>
      </right>
      <top/>
      <bottom/>
      <diagonal/>
    </border>
    <border>
      <left style="hair">
        <color theme="1" tint="0.499984740745262"/>
      </left>
      <right style="hair">
        <color theme="1" tint="0.499984740745262"/>
      </right>
      <top/>
      <bottom/>
      <diagonal/>
    </border>
    <border>
      <left style="hair">
        <color theme="1" tint="0.499984740745262"/>
      </left>
      <right style="thin">
        <color theme="1" tint="0.499984740745262"/>
      </right>
      <top/>
      <bottom/>
      <diagonal/>
    </border>
    <border>
      <left style="thin">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thin">
        <color theme="1" tint="0.499984740745262"/>
      </right>
      <top style="thin">
        <color theme="1" tint="0.499984740745262"/>
      </top>
      <bottom style="thin">
        <color theme="1" tint="0.499984740745262"/>
      </bottom>
      <diagonal/>
    </border>
    <border>
      <left style="hair">
        <color theme="1" tint="0.499984740745262"/>
      </left>
      <right style="hair">
        <color theme="1" tint="0.499984740745262"/>
      </right>
      <top style="hair">
        <color theme="1" tint="0.499984740745262"/>
      </top>
      <bottom style="medium">
        <color theme="1" tint="0.499984740745262"/>
      </bottom>
      <diagonal/>
    </border>
    <border>
      <left/>
      <right/>
      <top style="medium">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thin">
        <color theme="1" tint="0.499984740745262"/>
      </right>
      <top style="medium">
        <color indexed="64"/>
      </top>
      <bottom style="hair">
        <color theme="1" tint="0.499984740745262"/>
      </bottom>
      <diagonal/>
    </border>
    <border>
      <left style="thin">
        <color theme="1" tint="0.499984740745262"/>
      </left>
      <right style="thin">
        <color theme="1" tint="0.499984740745262"/>
      </right>
      <top style="medium">
        <color indexed="64"/>
      </top>
      <bottom style="hair">
        <color theme="1" tint="0.499984740745262"/>
      </bottom>
      <diagonal/>
    </border>
    <border>
      <left style="thin">
        <color theme="1" tint="0.499984740745262"/>
      </left>
      <right/>
      <top style="medium">
        <color indexed="64"/>
      </top>
      <bottom style="hair">
        <color theme="1" tint="0.499984740745262"/>
      </bottom>
      <diagonal/>
    </border>
    <border>
      <left style="thin">
        <color indexed="64"/>
      </left>
      <right style="hair">
        <color theme="1" tint="0.499984740745262"/>
      </right>
      <top style="thin">
        <color indexed="64"/>
      </top>
      <bottom/>
      <diagonal/>
    </border>
    <border>
      <left style="hair">
        <color theme="1" tint="0.499984740745262"/>
      </left>
      <right style="hair">
        <color theme="1" tint="0.499984740745262"/>
      </right>
      <top style="thin">
        <color indexed="64"/>
      </top>
      <bottom/>
      <diagonal/>
    </border>
    <border>
      <left style="hair">
        <color theme="1" tint="0.499984740745262"/>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diagonal/>
    </border>
    <border>
      <left/>
      <right/>
      <top/>
      <bottom style="thin">
        <color theme="1" tint="0.499984740745262"/>
      </bottom>
      <diagonal/>
    </border>
    <border>
      <left/>
      <right style="hair">
        <color theme="1" tint="0.499984740745262"/>
      </right>
      <top style="thin">
        <color theme="1" tint="0.499984740745262"/>
      </top>
      <bottom style="hair">
        <color theme="1" tint="0.499984740745262"/>
      </bottom>
      <diagonal/>
    </border>
    <border>
      <left style="hair">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thin">
        <color indexed="64"/>
      </right>
      <top style="thin">
        <color theme="1" tint="0.499984740745262"/>
      </top>
      <bottom style="hair">
        <color theme="1" tint="0.499984740745262"/>
      </bottom>
      <diagonal/>
    </border>
    <border>
      <left style="hair">
        <color theme="1" tint="0.499984740745262"/>
      </left>
      <right style="thin">
        <color theme="1" tint="0.499984740745262"/>
      </right>
      <top style="thin">
        <color theme="1" tint="0.499984740745262"/>
      </top>
      <bottom style="hair">
        <color theme="1" tint="0.499984740745262"/>
      </bottom>
      <diagonal/>
    </border>
    <border>
      <left style="hair">
        <color theme="1" tint="0.499984740745262"/>
      </left>
      <right style="thin">
        <color indexed="64"/>
      </right>
      <top style="hair">
        <color theme="1" tint="0.499984740745262"/>
      </top>
      <bottom style="hair">
        <color theme="1" tint="0.499984740745262"/>
      </bottom>
      <diagonal/>
    </border>
    <border>
      <left style="hair">
        <color theme="1" tint="0.499984740745262"/>
      </left>
      <right style="thin">
        <color theme="1" tint="0.499984740745262"/>
      </right>
      <top style="hair">
        <color theme="1" tint="0.499984740745262"/>
      </top>
      <bottom style="hair">
        <color theme="1" tint="0.499984740745262"/>
      </bottom>
      <diagonal/>
    </border>
    <border>
      <left/>
      <right style="hair">
        <color theme="1" tint="0.499984740745262"/>
      </right>
      <top style="hair">
        <color theme="1" tint="0.499984740745262"/>
      </top>
      <bottom style="thin">
        <color theme="1" tint="0.499984740745262"/>
      </bottom>
      <diagonal/>
    </border>
    <border>
      <left style="hair">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thin">
        <color indexed="64"/>
      </right>
      <top style="hair">
        <color theme="1" tint="0.499984740745262"/>
      </top>
      <bottom style="thin">
        <color theme="1" tint="0.499984740745262"/>
      </bottom>
      <diagonal/>
    </border>
    <border>
      <left/>
      <right style="hair">
        <color theme="1" tint="0.499984740745262"/>
      </right>
      <top style="hair">
        <color theme="1" tint="0.499984740745262"/>
      </top>
      <bottom style="thin">
        <color indexed="64"/>
      </bottom>
      <diagonal/>
    </border>
    <border>
      <left style="hair">
        <color theme="1" tint="0.499984740745262"/>
      </left>
      <right style="hair">
        <color theme="1" tint="0.499984740745262"/>
      </right>
      <top style="hair">
        <color theme="1" tint="0.499984740745262"/>
      </top>
      <bottom style="thin">
        <color indexed="64"/>
      </bottom>
      <diagonal/>
    </border>
    <border>
      <left style="hair">
        <color theme="1" tint="0.499984740745262"/>
      </left>
      <right style="thin">
        <color theme="1" tint="0.499984740745262"/>
      </right>
      <top style="hair">
        <color theme="1" tint="0.499984740745262"/>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hair">
        <color indexed="64"/>
      </bottom>
      <diagonal/>
    </border>
    <border>
      <left/>
      <right/>
      <top style="medium">
        <color indexed="64"/>
      </top>
      <bottom style="hair">
        <color indexed="64"/>
      </bottom>
      <diagonal/>
    </border>
    <border>
      <left style="thin">
        <color theme="1" tint="0.34998626667073579"/>
      </left>
      <right/>
      <top style="thin">
        <color theme="1" tint="0.34998626667073579"/>
      </top>
      <bottom style="thin">
        <color indexed="64"/>
      </bottom>
      <diagonal/>
    </border>
    <border>
      <left/>
      <right/>
      <top style="thin">
        <color theme="1" tint="0.34998626667073579"/>
      </top>
      <bottom style="thin">
        <color indexed="64"/>
      </bottom>
      <diagonal/>
    </border>
    <border>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indexed="64"/>
      </bottom>
      <diagonal/>
    </border>
    <border>
      <left/>
      <right style="thin">
        <color theme="1" tint="0.34998626667073579"/>
      </right>
      <top/>
      <bottom style="thin">
        <color indexed="64"/>
      </bottom>
      <diagonal/>
    </border>
    <border>
      <left/>
      <right/>
      <top style="hair">
        <color auto="1"/>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thin">
        <color indexed="64"/>
      </top>
      <bottom/>
      <diagonal/>
    </border>
    <border>
      <left/>
      <right style="hair">
        <color theme="1" tint="0.499984740745262"/>
      </right>
      <top style="thin">
        <color theme="1" tint="0.499984740745262"/>
      </top>
      <bottom style="thin">
        <color theme="1" tint="0.499984740745262"/>
      </bottom>
      <diagonal/>
    </border>
    <border>
      <left style="hair">
        <color theme="1" tint="0.499984740745262"/>
      </left>
      <right/>
      <top style="thin">
        <color theme="1" tint="0.499984740745262"/>
      </top>
      <bottom style="thin">
        <color theme="1" tint="0.499984740745262"/>
      </bottom>
      <diagonal/>
    </border>
    <border>
      <left style="hair">
        <color theme="1" tint="0.34998626667073579"/>
      </left>
      <right/>
      <top style="hair">
        <color theme="1" tint="0.34998626667073579"/>
      </top>
      <bottom style="thin">
        <color rgb="FFFF0000"/>
      </bottom>
      <diagonal/>
    </border>
    <border>
      <left/>
      <right/>
      <top style="hair">
        <color theme="1" tint="0.34998626667073579"/>
      </top>
      <bottom style="thin">
        <color rgb="FFFF0000"/>
      </bottom>
      <diagonal/>
    </border>
    <border>
      <left/>
      <right style="hair">
        <color theme="1" tint="0.34998626667073579"/>
      </right>
      <top style="hair">
        <color theme="1" tint="0.34998626667073579"/>
      </top>
      <bottom style="thin">
        <color rgb="FFFF0000"/>
      </bottom>
      <diagonal/>
    </border>
    <border>
      <left style="hair">
        <color theme="1" tint="0.34998626667073579"/>
      </left>
      <right/>
      <top style="thin">
        <color rgb="FFFF0000"/>
      </top>
      <bottom style="hair">
        <color theme="1" tint="0.34998626667073579"/>
      </bottom>
      <diagonal/>
    </border>
    <border>
      <left/>
      <right/>
      <top style="thin">
        <color rgb="FFFF0000"/>
      </top>
      <bottom style="hair">
        <color theme="1" tint="0.34998626667073579"/>
      </bottom>
      <diagonal/>
    </border>
    <border>
      <left/>
      <right style="hair">
        <color theme="1" tint="0.34998626667073579"/>
      </right>
      <top style="thin">
        <color rgb="FFFF0000"/>
      </top>
      <bottom style="hair">
        <color theme="1" tint="0.34998626667073579"/>
      </bottom>
      <diagonal/>
    </border>
    <border>
      <left style="hair">
        <color theme="1" tint="0.34998626667073579"/>
      </left>
      <right style="hair">
        <color theme="1" tint="0.34998626667073579"/>
      </right>
      <top style="hair">
        <color theme="1" tint="0.34998626667073579"/>
      </top>
      <bottom style="thin">
        <color theme="1" tint="0.34998626667073579"/>
      </bottom>
      <diagonal/>
    </border>
    <border>
      <left style="hair">
        <color theme="1" tint="0.34998626667073579"/>
      </left>
      <right/>
      <top style="hair">
        <color theme="1" tint="0.34998626667073579"/>
      </top>
      <bottom style="thin">
        <color theme="1" tint="0.34998626667073579"/>
      </bottom>
      <diagonal/>
    </border>
    <border>
      <left style="hair">
        <color theme="1" tint="0.34998626667073579"/>
      </left>
      <right/>
      <top style="thin">
        <color theme="1" tint="0.34998626667073579"/>
      </top>
      <bottom style="thin">
        <color theme="1" tint="0.34998626667073579"/>
      </bottom>
      <diagonal/>
    </border>
    <border>
      <left style="hair">
        <color theme="1" tint="0.34998626667073579"/>
      </left>
      <right style="hair">
        <color theme="1" tint="0.34998626667073579"/>
      </right>
      <top style="thin">
        <color theme="1" tint="0.34998626667073579"/>
      </top>
      <bottom style="hair">
        <color theme="1" tint="0.34998626667073579"/>
      </bottom>
      <diagonal/>
    </border>
    <border>
      <left style="hair">
        <color theme="1" tint="0.34998626667073579"/>
      </left>
      <right/>
      <top style="thin">
        <color theme="1" tint="0.34998626667073579"/>
      </top>
      <bottom style="hair">
        <color theme="1" tint="0.34998626667073579"/>
      </bottom>
      <diagonal/>
    </border>
    <border>
      <left/>
      <right/>
      <top style="thin">
        <color theme="1" tint="0.34998626667073579"/>
      </top>
      <bottom style="hair">
        <color theme="1" tint="0.34998626667073579"/>
      </bottom>
      <diagonal/>
    </border>
    <border>
      <left/>
      <right style="hair">
        <color theme="1" tint="0.34998626667073579"/>
      </right>
      <top style="thin">
        <color theme="1" tint="0.34998626667073579"/>
      </top>
      <bottom style="hair">
        <color theme="1" tint="0.34998626667073579"/>
      </bottom>
      <diagonal/>
    </border>
    <border>
      <left/>
      <right/>
      <top style="hair">
        <color theme="1" tint="0.34998626667073579"/>
      </top>
      <bottom style="thin">
        <color theme="1" tint="0.34998626667073579"/>
      </bottom>
      <diagonal/>
    </border>
    <border>
      <left/>
      <right style="hair">
        <color theme="1" tint="0.34998626667073579"/>
      </right>
      <top style="hair">
        <color theme="1" tint="0.34998626667073579"/>
      </top>
      <bottom style="thin">
        <color theme="1" tint="0.34998626667073579"/>
      </bottom>
      <diagonal/>
    </border>
    <border>
      <left style="hair">
        <color theme="1" tint="0.34998626667073579"/>
      </left>
      <right/>
      <top/>
      <bottom style="thin">
        <color theme="1" tint="0.34998626667073579"/>
      </bottom>
      <diagonal/>
    </border>
    <border>
      <left/>
      <right style="hair">
        <color theme="1" tint="0.34998626667073579"/>
      </right>
      <top/>
      <bottom style="thin">
        <color theme="1" tint="0.34998626667073579"/>
      </bottom>
      <diagonal/>
    </border>
    <border>
      <left style="hair">
        <color theme="1" tint="0.34998626667073579"/>
      </left>
      <right style="hair">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hair">
        <color theme="1" tint="0.34998626667073579"/>
      </right>
      <top style="thin">
        <color theme="1" tint="0.34998626667073579"/>
      </top>
      <bottom style="thin">
        <color theme="1" tint="0.34998626667073579"/>
      </bottom>
      <diagonal/>
    </border>
    <border>
      <left/>
      <right/>
      <top style="medium">
        <color theme="1" tint="0.499984740745262"/>
      </top>
      <bottom/>
      <diagonal/>
    </border>
    <border>
      <left/>
      <right/>
      <top style="thin">
        <color theme="1" tint="0.499984740745262"/>
      </top>
      <bottom/>
      <diagonal/>
    </border>
    <border>
      <left style="hair">
        <color theme="1" tint="0.34998626667073579"/>
      </left>
      <right style="hair">
        <color theme="1" tint="0.34998626667073579"/>
      </right>
      <top/>
      <bottom style="thin">
        <color theme="1" tint="0.34998626667073579"/>
      </bottom>
      <diagonal/>
    </border>
    <border>
      <left style="hair">
        <color theme="1" tint="0.499984740745262"/>
      </left>
      <right/>
      <top style="hair">
        <color theme="1" tint="0.499984740745262"/>
      </top>
      <bottom style="thin">
        <color theme="1" tint="0.499984740745262"/>
      </bottom>
      <diagonal/>
    </border>
    <border>
      <left/>
      <right/>
      <top style="hair">
        <color theme="1" tint="0.499984740745262"/>
      </top>
      <bottom style="thin">
        <color theme="1" tint="0.499984740745262"/>
      </bottom>
      <diagonal/>
    </border>
    <border>
      <left/>
      <right/>
      <top style="thin">
        <color theme="1" tint="0.499984740745262"/>
      </top>
      <bottom style="hair">
        <color theme="1" tint="0.499984740745262"/>
      </bottom>
      <diagonal/>
    </border>
    <border>
      <left style="hair">
        <color theme="1" tint="0.34998626667073579"/>
      </left>
      <right style="hair">
        <color theme="1" tint="0.34998626667073579"/>
      </right>
      <top style="thin">
        <color indexed="64"/>
      </top>
      <bottom style="hair">
        <color auto="1"/>
      </bottom>
      <diagonal/>
    </border>
    <border>
      <left style="hair">
        <color theme="1" tint="0.34998626667073579"/>
      </left>
      <right style="hair">
        <color theme="1" tint="0.34998626667073579"/>
      </right>
      <top style="hair">
        <color auto="1"/>
      </top>
      <bottom style="thin">
        <color indexed="64"/>
      </bottom>
      <diagonal/>
    </border>
    <border>
      <left style="hair">
        <color theme="1" tint="0.34998626667073579"/>
      </left>
      <right style="hair">
        <color theme="1" tint="0.34998626667073579"/>
      </right>
      <top style="hair">
        <color auto="1"/>
      </top>
      <bottom style="medium">
        <color indexed="64"/>
      </bottom>
      <diagonal/>
    </border>
    <border>
      <left style="hair">
        <color theme="1" tint="0.34998626667073579"/>
      </left>
      <right style="hair">
        <color theme="1" tint="0.34998626667073579"/>
      </right>
      <top/>
      <bottom style="medium">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831">
    <xf numFmtId="0" fontId="0" fillId="0" borderId="0" xfId="0">
      <alignment vertical="center"/>
    </xf>
    <xf numFmtId="0" fontId="3" fillId="0" borderId="0" xfId="0" applyFont="1">
      <alignment vertical="center"/>
    </xf>
    <xf numFmtId="0" fontId="5" fillId="0" borderId="0" xfId="0" applyFont="1">
      <alignment vertical="center"/>
    </xf>
    <xf numFmtId="0" fontId="3" fillId="0" borderId="0" xfId="0" applyFont="1" applyAlignment="1">
      <alignment vertical="center" shrinkToFit="1"/>
    </xf>
    <xf numFmtId="0" fontId="3" fillId="0" borderId="0" xfId="0" applyFont="1" applyAlignment="1">
      <alignment horizontal="left" vertical="center" indent="1"/>
    </xf>
    <xf numFmtId="0" fontId="8" fillId="0" borderId="4" xfId="0" applyFont="1" applyBorder="1" applyAlignment="1">
      <alignment wrapText="1"/>
    </xf>
    <xf numFmtId="0" fontId="3" fillId="0" borderId="4" xfId="0" applyFont="1" applyBorder="1">
      <alignment vertical="center"/>
    </xf>
    <xf numFmtId="0" fontId="8" fillId="0" borderId="30" xfId="0" applyFont="1" applyBorder="1" applyAlignment="1">
      <alignment vertical="center" wrapText="1"/>
    </xf>
    <xf numFmtId="0" fontId="16" fillId="0" borderId="33" xfId="0" applyFont="1" applyBorder="1" applyAlignment="1">
      <alignment vertical="center" wrapText="1"/>
    </xf>
    <xf numFmtId="0" fontId="13" fillId="0" borderId="15" xfId="0" applyFont="1" applyBorder="1" applyAlignment="1">
      <alignment vertical="center" wrapText="1"/>
    </xf>
    <xf numFmtId="41" fontId="8" fillId="0" borderId="15" xfId="1" applyFont="1" applyBorder="1" applyAlignment="1">
      <alignment vertical="center" shrinkToFit="1"/>
    </xf>
    <xf numFmtId="0" fontId="8" fillId="0" borderId="33" xfId="0" applyFont="1" applyBorder="1" applyAlignment="1">
      <alignment horizontal="center" vertical="center" wrapText="1"/>
    </xf>
    <xf numFmtId="0" fontId="11" fillId="0" borderId="33" xfId="0" applyFont="1" applyBorder="1" applyAlignment="1">
      <alignment vertical="center" wrapText="1"/>
    </xf>
    <xf numFmtId="0" fontId="3" fillId="0" borderId="0" xfId="0" applyFont="1" applyAlignment="1">
      <alignment horizontal="left" vertical="center"/>
    </xf>
    <xf numFmtId="0" fontId="20" fillId="0" borderId="0" xfId="0" applyFont="1">
      <alignment vertical="center"/>
    </xf>
    <xf numFmtId="0" fontId="24" fillId="0" borderId="0" xfId="0" applyFont="1">
      <alignment vertical="center"/>
    </xf>
    <xf numFmtId="0" fontId="24" fillId="0" borderId="85" xfId="0" applyFont="1" applyBorder="1">
      <alignment vertical="center"/>
    </xf>
    <xf numFmtId="0" fontId="32" fillId="0" borderId="0" xfId="0" applyFont="1">
      <alignment vertical="center"/>
    </xf>
    <xf numFmtId="0" fontId="19" fillId="0" borderId="0" xfId="0" applyFont="1">
      <alignment vertical="center"/>
    </xf>
    <xf numFmtId="0" fontId="29" fillId="0" borderId="0" xfId="0" applyFont="1" applyAlignment="1">
      <alignment vertical="center" wrapText="1"/>
    </xf>
    <xf numFmtId="0" fontId="29" fillId="0" borderId="0" xfId="0" applyFont="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left" vertical="center"/>
    </xf>
    <xf numFmtId="0" fontId="24" fillId="0" borderId="141" xfId="0" applyFont="1" applyBorder="1">
      <alignment vertical="center"/>
    </xf>
    <xf numFmtId="0" fontId="24" fillId="0" borderId="142" xfId="0" applyFont="1" applyBorder="1">
      <alignment vertical="center"/>
    </xf>
    <xf numFmtId="0" fontId="22" fillId="0" borderId="141" xfId="0" applyFont="1" applyBorder="1">
      <alignment vertical="center"/>
    </xf>
    <xf numFmtId="0" fontId="24" fillId="0" borderId="141" xfId="0" applyFont="1" applyBorder="1" applyAlignment="1">
      <alignment horizontal="center" vertical="center"/>
    </xf>
    <xf numFmtId="0" fontId="24" fillId="0" borderId="0" xfId="0" applyFont="1" applyAlignment="1">
      <alignment horizontal="center" vertical="center"/>
    </xf>
    <xf numFmtId="0" fontId="24" fillId="0" borderId="142" xfId="0" applyFont="1" applyBorder="1" applyAlignment="1">
      <alignment horizontal="center" vertical="center"/>
    </xf>
    <xf numFmtId="0" fontId="24" fillId="0" borderId="0" xfId="0" applyFont="1" applyAlignment="1">
      <alignment vertical="center" shrinkToFit="1"/>
    </xf>
    <xf numFmtId="0" fontId="34" fillId="0" borderId="141" xfId="0" applyFont="1" applyBorder="1">
      <alignment vertical="center"/>
    </xf>
    <xf numFmtId="0" fontId="27" fillId="0" borderId="0" xfId="0" applyFont="1">
      <alignment vertical="center"/>
    </xf>
    <xf numFmtId="0" fontId="27" fillId="0" borderId="142" xfId="0" applyFont="1" applyBorder="1">
      <alignment vertical="center"/>
    </xf>
    <xf numFmtId="0" fontId="27" fillId="0" borderId="141" xfId="0" applyFont="1" applyBorder="1">
      <alignment vertical="center"/>
    </xf>
    <xf numFmtId="41" fontId="40" fillId="0" borderId="0" xfId="1" applyFont="1" applyBorder="1" applyAlignment="1" applyProtection="1">
      <alignment vertical="center"/>
      <protection locked="0"/>
    </xf>
    <xf numFmtId="0" fontId="37" fillId="0" borderId="0" xfId="0" applyFont="1" applyProtection="1">
      <alignment vertical="center"/>
      <protection locked="0"/>
    </xf>
    <xf numFmtId="0" fontId="39" fillId="0" borderId="0" xfId="0" applyFont="1">
      <alignment vertical="center"/>
    </xf>
    <xf numFmtId="0" fontId="41" fillId="0" borderId="0" xfId="0" applyFont="1">
      <alignment vertical="center"/>
    </xf>
    <xf numFmtId="41" fontId="40" fillId="0" borderId="0" xfId="1" applyFont="1" applyBorder="1" applyAlignment="1" applyProtection="1">
      <alignment vertical="center"/>
    </xf>
    <xf numFmtId="0" fontId="40" fillId="0" borderId="0" xfId="0" applyFont="1" applyAlignment="1" applyProtection="1">
      <alignment horizontal="center" vertical="center"/>
      <protection locked="0"/>
    </xf>
    <xf numFmtId="41" fontId="40" fillId="0" borderId="0" xfId="1" applyFont="1" applyBorder="1" applyAlignment="1" applyProtection="1">
      <alignment horizontal="center" vertical="center"/>
      <protection locked="0"/>
    </xf>
    <xf numFmtId="41" fontId="40" fillId="0" borderId="0" xfId="1" applyFont="1" applyBorder="1" applyAlignment="1" applyProtection="1">
      <alignment horizontal="center" vertical="center"/>
    </xf>
    <xf numFmtId="0" fontId="30" fillId="0" borderId="0" xfId="0" applyFont="1">
      <alignment vertical="center"/>
    </xf>
    <xf numFmtId="0" fontId="39" fillId="0" borderId="0" xfId="0" applyFont="1" applyAlignment="1" applyProtection="1">
      <alignment horizontal="left" vertical="center"/>
      <protection locked="0"/>
    </xf>
    <xf numFmtId="0" fontId="38" fillId="0" borderId="0" xfId="0" applyFont="1" applyAlignment="1">
      <alignment vertical="center" wrapText="1"/>
    </xf>
    <xf numFmtId="0" fontId="42" fillId="0" borderId="0" xfId="0" applyFont="1" applyAlignment="1">
      <alignment vertical="center" shrinkToFit="1"/>
    </xf>
    <xf numFmtId="0" fontId="2" fillId="0" borderId="0" xfId="0" applyFont="1">
      <alignment vertical="center"/>
    </xf>
    <xf numFmtId="0" fontId="46" fillId="0" borderId="0" xfId="0" applyFont="1">
      <alignment vertical="center"/>
    </xf>
    <xf numFmtId="0" fontId="20" fillId="0" borderId="0" xfId="0" applyFont="1" applyAlignment="1">
      <alignment horizontal="center" vertical="center" wrapText="1"/>
    </xf>
    <xf numFmtId="0" fontId="6" fillId="0" borderId="0" xfId="0" applyFont="1" applyAlignment="1">
      <alignment horizontal="left" vertical="center" shrinkToFit="1"/>
    </xf>
    <xf numFmtId="0" fontId="20" fillId="0" borderId="122" xfId="0" applyFont="1" applyBorder="1">
      <alignment vertical="center"/>
    </xf>
    <xf numFmtId="0" fontId="7" fillId="0" borderId="124" xfId="0" applyFont="1" applyBorder="1">
      <alignment vertical="center"/>
    </xf>
    <xf numFmtId="0" fontId="7" fillId="0" borderId="122" xfId="0" applyFont="1" applyBorder="1" applyAlignment="1">
      <alignment vertical="center" wrapText="1"/>
    </xf>
    <xf numFmtId="0" fontId="29" fillId="0" borderId="210" xfId="0" applyFont="1" applyBorder="1" applyAlignment="1">
      <alignment vertical="center" wrapText="1"/>
    </xf>
    <xf numFmtId="0" fontId="51" fillId="0" borderId="0" xfId="0" applyFont="1" applyProtection="1">
      <alignment vertical="center"/>
      <protection locked="0"/>
    </xf>
    <xf numFmtId="0" fontId="52" fillId="0" borderId="0" xfId="0" applyFont="1" applyProtection="1">
      <alignment vertical="center"/>
      <protection locked="0"/>
    </xf>
    <xf numFmtId="0" fontId="51" fillId="0" borderId="0" xfId="0" applyFont="1">
      <alignment vertical="center"/>
    </xf>
    <xf numFmtId="0" fontId="51" fillId="0" borderId="0" xfId="0" applyFont="1" applyAlignment="1">
      <alignment horizontal="center" vertical="center"/>
    </xf>
    <xf numFmtId="0" fontId="20" fillId="0" borderId="0" xfId="0" applyFont="1" applyAlignment="1">
      <alignment horizontal="left" vertical="center"/>
    </xf>
    <xf numFmtId="0" fontId="20" fillId="0" borderId="0" xfId="0" applyFont="1" applyAlignment="1">
      <alignment horizontal="left" vertical="center" wrapText="1"/>
    </xf>
    <xf numFmtId="0" fontId="29" fillId="0" borderId="215" xfId="0" applyFont="1" applyBorder="1" applyAlignment="1">
      <alignment horizontal="center" vertical="center" shrinkToFit="1"/>
    </xf>
    <xf numFmtId="0" fontId="21" fillId="0" borderId="215" xfId="0" applyFont="1" applyBorder="1" applyAlignment="1">
      <alignment horizontal="left" vertical="center" wrapText="1"/>
    </xf>
    <xf numFmtId="0" fontId="21" fillId="0" borderId="215" xfId="0" applyFont="1" applyBorder="1" applyAlignment="1">
      <alignment horizontal="left" vertical="center"/>
    </xf>
    <xf numFmtId="0" fontId="24" fillId="0" borderId="0" xfId="0" applyFont="1" applyAlignment="1">
      <alignment horizontal="center" vertical="center" textRotation="255"/>
    </xf>
    <xf numFmtId="0" fontId="27" fillId="0" borderId="0" xfId="0" applyFont="1" applyAlignment="1">
      <alignment horizontal="center" vertical="center"/>
    </xf>
    <xf numFmtId="0" fontId="7" fillId="0" borderId="0" xfId="0" applyFont="1" applyAlignment="1">
      <alignment horizontal="center" vertical="center" shrinkToFit="1"/>
    </xf>
    <xf numFmtId="41" fontId="7" fillId="0" borderId="0" xfId="1" applyFont="1" applyBorder="1" applyAlignment="1">
      <alignment horizontal="center" vertical="center" shrinkToFit="1"/>
    </xf>
    <xf numFmtId="0" fontId="23" fillId="0" borderId="0" xfId="0" applyFont="1" applyAlignment="1">
      <alignment horizontal="left" vertical="center" wrapText="1"/>
    </xf>
    <xf numFmtId="0" fontId="25" fillId="0" borderId="0" xfId="0" applyFont="1" applyAlignment="1">
      <alignment horizontal="left" vertical="center" wrapText="1"/>
    </xf>
    <xf numFmtId="0" fontId="3" fillId="6" borderId="1" xfId="0" applyFont="1" applyFill="1" applyBorder="1">
      <alignment vertical="center"/>
    </xf>
    <xf numFmtId="0" fontId="3" fillId="6" borderId="2" xfId="0" applyFont="1" applyFill="1" applyBorder="1">
      <alignment vertical="center"/>
    </xf>
    <xf numFmtId="0" fontId="3" fillId="6" borderId="3" xfId="0" applyFont="1" applyFill="1" applyBorder="1">
      <alignment vertical="center"/>
    </xf>
    <xf numFmtId="0" fontId="11" fillId="6" borderId="33" xfId="0" applyFont="1" applyFill="1" applyBorder="1" applyAlignment="1">
      <alignment vertical="center" wrapText="1"/>
    </xf>
    <xf numFmtId="0" fontId="11" fillId="6" borderId="53" xfId="0" applyFont="1" applyFill="1" applyBorder="1" applyAlignment="1">
      <alignment vertical="center" wrapText="1"/>
    </xf>
    <xf numFmtId="41" fontId="11" fillId="6" borderId="15" xfId="1" applyFont="1" applyFill="1" applyBorder="1" applyAlignment="1">
      <alignment vertical="center" shrinkToFit="1"/>
    </xf>
    <xf numFmtId="41" fontId="11" fillId="6" borderId="9" xfId="1" applyFont="1" applyFill="1" applyBorder="1" applyAlignment="1">
      <alignment vertical="center" shrinkToFit="1"/>
    </xf>
    <xf numFmtId="41" fontId="11" fillId="6" borderId="46" xfId="1" applyFont="1" applyFill="1" applyBorder="1" applyAlignment="1">
      <alignment vertical="center" shrinkToFit="1"/>
    </xf>
    <xf numFmtId="41" fontId="11" fillId="6" borderId="52" xfId="1" applyFont="1" applyFill="1" applyBorder="1" applyAlignment="1">
      <alignment vertical="center" shrinkToFit="1"/>
    </xf>
    <xf numFmtId="41" fontId="11" fillId="6" borderId="6" xfId="1" applyFont="1" applyFill="1" applyBorder="1" applyAlignment="1">
      <alignment vertical="center" shrinkToFit="1"/>
    </xf>
    <xf numFmtId="41" fontId="11" fillId="6" borderId="23" xfId="1" applyFont="1" applyFill="1" applyBorder="1" applyAlignment="1">
      <alignment vertical="center" shrinkToFit="1"/>
    </xf>
    <xf numFmtId="0" fontId="42" fillId="0" borderId="0" xfId="0" applyFont="1" applyAlignment="1">
      <alignment horizontal="center" vertical="center" shrinkToFit="1"/>
    </xf>
    <xf numFmtId="0" fontId="43" fillId="0" borderId="0" xfId="0" applyFont="1" applyAlignment="1">
      <alignment horizontal="center" vertical="center"/>
    </xf>
    <xf numFmtId="0" fontId="47" fillId="0" borderId="0" xfId="0" applyFont="1" applyAlignment="1">
      <alignment horizontal="center" vertical="center"/>
    </xf>
    <xf numFmtId="41" fontId="39" fillId="6" borderId="164" xfId="1" applyFont="1" applyFill="1" applyBorder="1" applyAlignment="1" applyProtection="1">
      <alignment horizontal="center" vertical="center"/>
      <protection locked="0"/>
    </xf>
    <xf numFmtId="0" fontId="30" fillId="3" borderId="167" xfId="0" applyFont="1" applyFill="1" applyBorder="1" applyAlignment="1">
      <alignment horizontal="center" vertical="center"/>
    </xf>
    <xf numFmtId="0" fontId="51" fillId="0" borderId="180" xfId="0" applyFont="1" applyBorder="1" applyAlignment="1">
      <alignment horizontal="left" vertical="center" wrapText="1"/>
    </xf>
    <xf numFmtId="0" fontId="30" fillId="6" borderId="163" xfId="0" applyFont="1" applyFill="1" applyBorder="1" applyAlignment="1">
      <alignment horizontal="center" vertical="center" wrapText="1"/>
    </xf>
    <xf numFmtId="0" fontId="30" fillId="6" borderId="164" xfId="0" applyFont="1" applyFill="1" applyBorder="1" applyAlignment="1">
      <alignment horizontal="center" vertical="center" wrapText="1"/>
    </xf>
    <xf numFmtId="0" fontId="30" fillId="6" borderId="164" xfId="0" applyFont="1" applyFill="1" applyBorder="1" applyAlignment="1">
      <alignment horizontal="center" vertical="center"/>
    </xf>
    <xf numFmtId="0" fontId="39" fillId="6" borderId="164" xfId="0" applyFont="1" applyFill="1" applyBorder="1" applyAlignment="1" applyProtection="1">
      <alignment horizontal="center" vertical="center"/>
      <protection locked="0"/>
    </xf>
    <xf numFmtId="0" fontId="30" fillId="6" borderId="161" xfId="0" applyFont="1" applyFill="1" applyBorder="1" applyAlignment="1">
      <alignment horizontal="center" vertical="center" wrapText="1"/>
    </xf>
    <xf numFmtId="0" fontId="30" fillId="6" borderId="133" xfId="0" applyFont="1" applyFill="1" applyBorder="1" applyAlignment="1">
      <alignment horizontal="center" vertical="center" wrapText="1"/>
    </xf>
    <xf numFmtId="0" fontId="30" fillId="6" borderId="133" xfId="0" applyFont="1" applyFill="1" applyBorder="1" applyAlignment="1">
      <alignment horizontal="center" vertical="center"/>
    </xf>
    <xf numFmtId="0" fontId="39" fillId="6" borderId="133" xfId="0" applyFont="1" applyFill="1" applyBorder="1" applyAlignment="1" applyProtection="1">
      <alignment horizontal="center" vertical="center"/>
      <protection locked="0"/>
    </xf>
    <xf numFmtId="41" fontId="39" fillId="6" borderId="133" xfId="1" applyFont="1" applyFill="1" applyBorder="1" applyAlignment="1" applyProtection="1">
      <alignment horizontal="center" vertical="center"/>
      <protection locked="0"/>
    </xf>
    <xf numFmtId="41" fontId="39" fillId="6" borderId="165" xfId="1" applyFont="1" applyFill="1" applyBorder="1" applyAlignment="1" applyProtection="1">
      <alignment horizontal="center" vertical="center"/>
      <protection locked="0"/>
    </xf>
    <xf numFmtId="41" fontId="39" fillId="6" borderId="180" xfId="1" applyFont="1" applyFill="1" applyBorder="1" applyAlignment="1" applyProtection="1">
      <alignment horizontal="center" vertical="center"/>
      <protection locked="0"/>
    </xf>
    <xf numFmtId="41" fontId="39" fillId="6" borderId="162" xfId="1" applyFont="1" applyFill="1" applyBorder="1" applyAlignment="1" applyProtection="1">
      <alignment horizontal="center" vertical="center"/>
      <protection locked="0"/>
    </xf>
    <xf numFmtId="41" fontId="39" fillId="6" borderId="166" xfId="1" applyFont="1" applyFill="1" applyBorder="1" applyAlignment="1" applyProtection="1">
      <alignment horizontal="center" vertical="center"/>
      <protection locked="0"/>
    </xf>
    <xf numFmtId="41" fontId="51" fillId="0" borderId="133" xfId="1" applyFont="1" applyBorder="1" applyAlignment="1" applyProtection="1">
      <alignment horizontal="center" vertical="center"/>
      <protection locked="0"/>
    </xf>
    <xf numFmtId="41" fontId="40" fillId="6" borderId="164" xfId="1" applyFont="1" applyFill="1" applyBorder="1" applyAlignment="1" applyProtection="1">
      <alignment horizontal="center" vertical="center"/>
    </xf>
    <xf numFmtId="41" fontId="40" fillId="6" borderId="165" xfId="1" applyFont="1" applyFill="1" applyBorder="1" applyAlignment="1" applyProtection="1">
      <alignment horizontal="center" vertical="center"/>
    </xf>
    <xf numFmtId="0" fontId="51" fillId="0" borderId="158" xfId="0" applyFont="1" applyBorder="1" applyAlignment="1">
      <alignment horizontal="center" vertical="center" wrapText="1"/>
    </xf>
    <xf numFmtId="0" fontId="51" fillId="0" borderId="159" xfId="0" applyFont="1" applyBorder="1" applyAlignment="1">
      <alignment horizontal="center" vertical="center" wrapText="1"/>
    </xf>
    <xf numFmtId="0" fontId="51" fillId="0" borderId="161" xfId="0" applyFont="1" applyBorder="1" applyAlignment="1">
      <alignment horizontal="center" vertical="center" wrapText="1"/>
    </xf>
    <xf numFmtId="0" fontId="51" fillId="0" borderId="133" xfId="0" applyFont="1" applyBorder="1" applyAlignment="1">
      <alignment horizontal="center" vertical="center" wrapText="1"/>
    </xf>
    <xf numFmtId="0" fontId="54" fillId="0" borderId="159" xfId="0" applyFont="1" applyBorder="1" applyAlignment="1">
      <alignment horizontal="center" vertical="center" wrapText="1"/>
    </xf>
    <xf numFmtId="0" fontId="51" fillId="0" borderId="133" xfId="0" applyFont="1" applyBorder="1" applyAlignment="1" applyProtection="1">
      <alignment horizontal="center" vertical="center"/>
      <protection locked="0"/>
    </xf>
    <xf numFmtId="0" fontId="40" fillId="6" borderId="163" xfId="0" applyFont="1" applyFill="1" applyBorder="1" applyAlignment="1" applyProtection="1">
      <alignment horizontal="center" vertical="center"/>
      <protection locked="0"/>
    </xf>
    <xf numFmtId="0" fontId="40" fillId="6" borderId="164" xfId="0" applyFont="1" applyFill="1" applyBorder="1" applyAlignment="1" applyProtection="1">
      <alignment horizontal="center" vertical="center"/>
      <protection locked="0"/>
    </xf>
    <xf numFmtId="0" fontId="40" fillId="6" borderId="165" xfId="0" applyFont="1" applyFill="1" applyBorder="1" applyAlignment="1" applyProtection="1">
      <alignment horizontal="center" vertical="center"/>
      <protection locked="0"/>
    </xf>
    <xf numFmtId="0" fontId="40" fillId="6" borderId="180" xfId="0" applyFont="1" applyFill="1" applyBorder="1" applyAlignment="1" applyProtection="1">
      <alignment horizontal="center" vertical="center"/>
      <protection locked="0"/>
    </xf>
    <xf numFmtId="41" fontId="40" fillId="6" borderId="165" xfId="1" applyFont="1" applyFill="1" applyBorder="1" applyAlignment="1" applyProtection="1">
      <alignment horizontal="center" vertical="center"/>
      <protection locked="0"/>
    </xf>
    <xf numFmtId="41" fontId="40" fillId="6" borderId="180" xfId="1" applyFont="1" applyFill="1" applyBorder="1" applyAlignment="1" applyProtection="1">
      <alignment horizontal="center" vertical="center"/>
      <protection locked="0"/>
    </xf>
    <xf numFmtId="41" fontId="40" fillId="6" borderId="163" xfId="1" applyFont="1" applyFill="1" applyBorder="1" applyAlignment="1" applyProtection="1">
      <alignment horizontal="center" vertical="center"/>
      <protection locked="0"/>
    </xf>
    <xf numFmtId="0" fontId="54" fillId="0" borderId="187" xfId="0" applyFont="1" applyBorder="1" applyAlignment="1">
      <alignment horizontal="center" vertical="center" wrapText="1"/>
    </xf>
    <xf numFmtId="0" fontId="54" fillId="0" borderId="73" xfId="0" applyFont="1" applyBorder="1" applyAlignment="1">
      <alignment horizontal="center" vertical="center" wrapText="1"/>
    </xf>
    <xf numFmtId="0" fontId="54" fillId="0" borderId="184" xfId="0" applyFont="1" applyBorder="1" applyAlignment="1">
      <alignment horizontal="center" vertical="center" wrapText="1"/>
    </xf>
    <xf numFmtId="0" fontId="54" fillId="0" borderId="185" xfId="0" applyFont="1" applyBorder="1" applyAlignment="1">
      <alignment horizontal="center" vertical="center" wrapText="1"/>
    </xf>
    <xf numFmtId="0" fontId="40" fillId="6" borderId="161" xfId="0" applyFont="1" applyFill="1" applyBorder="1" applyAlignment="1" applyProtection="1">
      <alignment horizontal="center" vertical="center"/>
      <protection locked="0"/>
    </xf>
    <xf numFmtId="0" fontId="40" fillId="6" borderId="133" xfId="0" applyFont="1" applyFill="1" applyBorder="1" applyAlignment="1" applyProtection="1">
      <alignment horizontal="center" vertical="center"/>
      <protection locked="0"/>
    </xf>
    <xf numFmtId="41" fontId="40" fillId="6" borderId="133" xfId="1" applyFont="1" applyFill="1" applyBorder="1" applyAlignment="1" applyProtection="1">
      <alignment horizontal="center" vertical="center"/>
    </xf>
    <xf numFmtId="41" fontId="40" fillId="6" borderId="162" xfId="1" applyFont="1" applyFill="1" applyBorder="1" applyAlignment="1" applyProtection="1">
      <alignment horizontal="center" vertical="center"/>
    </xf>
    <xf numFmtId="0" fontId="40" fillId="6" borderId="162" xfId="0" applyFont="1" applyFill="1" applyBorder="1" applyAlignment="1" applyProtection="1">
      <alignment horizontal="center" vertical="center"/>
      <protection locked="0"/>
    </xf>
    <xf numFmtId="0" fontId="40" fillId="6" borderId="166" xfId="0" applyFont="1" applyFill="1" applyBorder="1" applyAlignment="1" applyProtection="1">
      <alignment horizontal="center" vertical="center"/>
      <protection locked="0"/>
    </xf>
    <xf numFmtId="0" fontId="56" fillId="0" borderId="158" xfId="0" applyFont="1" applyBorder="1" applyAlignment="1">
      <alignment horizontal="center" vertical="center" wrapText="1"/>
    </xf>
    <xf numFmtId="0" fontId="56" fillId="0" borderId="159" xfId="0" applyFont="1" applyBorder="1" applyAlignment="1">
      <alignment horizontal="center" vertical="center" wrapText="1"/>
    </xf>
    <xf numFmtId="0" fontId="56" fillId="0" borderId="161" xfId="0" applyFont="1" applyBorder="1" applyAlignment="1">
      <alignment horizontal="center" vertical="center" wrapText="1"/>
    </xf>
    <xf numFmtId="0" fontId="56" fillId="0" borderId="133" xfId="0" applyFont="1" applyBorder="1" applyAlignment="1">
      <alignment horizontal="center" vertical="center" wrapText="1"/>
    </xf>
    <xf numFmtId="0" fontId="51" fillId="0" borderId="159" xfId="0" applyFont="1" applyBorder="1" applyAlignment="1">
      <alignment horizontal="center" vertical="center"/>
    </xf>
    <xf numFmtId="0" fontId="51" fillId="0" borderId="160" xfId="0" applyFont="1" applyBorder="1" applyAlignment="1">
      <alignment horizontal="center" vertical="center"/>
    </xf>
    <xf numFmtId="0" fontId="51" fillId="0" borderId="133" xfId="0" applyFont="1" applyBorder="1" applyAlignment="1">
      <alignment horizontal="center" vertical="center"/>
    </xf>
    <xf numFmtId="0" fontId="51" fillId="0" borderId="162" xfId="0" applyFont="1" applyBorder="1" applyAlignment="1">
      <alignment horizontal="center" vertical="center"/>
    </xf>
    <xf numFmtId="41" fontId="40" fillId="6" borderId="162" xfId="1" applyFont="1" applyFill="1" applyBorder="1" applyAlignment="1" applyProtection="1">
      <alignment horizontal="center" vertical="center"/>
      <protection locked="0"/>
    </xf>
    <xf numFmtId="41" fontId="40" fillId="6" borderId="166" xfId="1" applyFont="1" applyFill="1" applyBorder="1" applyAlignment="1" applyProtection="1">
      <alignment horizontal="center" vertical="center"/>
      <protection locked="0"/>
    </xf>
    <xf numFmtId="41" fontId="40" fillId="6" borderId="161" xfId="1" applyFont="1" applyFill="1" applyBorder="1" applyAlignment="1" applyProtection="1">
      <alignment horizontal="center" vertical="center"/>
      <protection locked="0"/>
    </xf>
    <xf numFmtId="0" fontId="56" fillId="0" borderId="162" xfId="0" applyFont="1" applyBorder="1" applyAlignment="1">
      <alignment horizontal="center" vertical="center" wrapText="1"/>
    </xf>
    <xf numFmtId="0" fontId="56" fillId="0" borderId="166" xfId="0" applyFont="1" applyBorder="1" applyAlignment="1">
      <alignment horizontal="center" vertical="center" wrapText="1"/>
    </xf>
    <xf numFmtId="0" fontId="51" fillId="0" borderId="160" xfId="0" applyFont="1" applyBorder="1" applyAlignment="1">
      <alignment horizontal="center" vertical="center" shrinkToFit="1"/>
    </xf>
    <xf numFmtId="0" fontId="51" fillId="0" borderId="74" xfId="0" applyFont="1" applyBorder="1" applyAlignment="1">
      <alignment horizontal="center" vertical="center" shrinkToFit="1"/>
    </xf>
    <xf numFmtId="0" fontId="51" fillId="0" borderId="158" xfId="0" applyFont="1" applyBorder="1" applyAlignment="1">
      <alignment horizontal="center" vertical="center" shrinkToFit="1"/>
    </xf>
    <xf numFmtId="41" fontId="51" fillId="0" borderId="181" xfId="1" applyFont="1" applyBorder="1" applyAlignment="1" applyProtection="1">
      <alignment horizontal="center" vertical="center"/>
      <protection locked="0"/>
    </xf>
    <xf numFmtId="41" fontId="51" fillId="0" borderId="182" xfId="1" applyFont="1" applyBorder="1" applyAlignment="1" applyProtection="1">
      <alignment horizontal="center" vertical="center"/>
      <protection locked="0"/>
    </xf>
    <xf numFmtId="41" fontId="51" fillId="0" borderId="183" xfId="1" applyFont="1" applyBorder="1" applyAlignment="1" applyProtection="1">
      <alignment horizontal="center" vertical="center"/>
      <protection locked="0"/>
    </xf>
    <xf numFmtId="41" fontId="51" fillId="0" borderId="184" xfId="1" applyFont="1" applyBorder="1" applyAlignment="1" applyProtection="1">
      <alignment horizontal="center" vertical="center"/>
      <protection locked="0"/>
    </xf>
    <xf numFmtId="41" fontId="51" fillId="0" borderId="185" xfId="1" applyFont="1" applyBorder="1" applyAlignment="1" applyProtection="1">
      <alignment horizontal="center" vertical="center"/>
      <protection locked="0"/>
    </xf>
    <xf numFmtId="41" fontId="51" fillId="0" borderId="186" xfId="1" applyFont="1" applyBorder="1" applyAlignment="1" applyProtection="1">
      <alignment horizontal="center" vertical="center"/>
      <protection locked="0"/>
    </xf>
    <xf numFmtId="0" fontId="51" fillId="0" borderId="181" xfId="0" applyFont="1" applyBorder="1" applyAlignment="1" applyProtection="1">
      <alignment horizontal="center" vertical="center"/>
      <protection locked="0"/>
    </xf>
    <xf numFmtId="0" fontId="51" fillId="0" borderId="182" xfId="0" applyFont="1" applyBorder="1" applyAlignment="1" applyProtection="1">
      <alignment horizontal="center" vertical="center"/>
      <protection locked="0"/>
    </xf>
    <xf numFmtId="0" fontId="51" fillId="0" borderId="183" xfId="0" applyFont="1" applyBorder="1" applyAlignment="1" applyProtection="1">
      <alignment horizontal="center" vertical="center"/>
      <protection locked="0"/>
    </xf>
    <xf numFmtId="0" fontId="51" fillId="0" borderId="184" xfId="0" applyFont="1" applyBorder="1" applyAlignment="1" applyProtection="1">
      <alignment horizontal="center" vertical="center"/>
      <protection locked="0"/>
    </xf>
    <xf numFmtId="0" fontId="51" fillId="0" borderId="185" xfId="0" applyFont="1" applyBorder="1" applyAlignment="1" applyProtection="1">
      <alignment horizontal="center" vertical="center"/>
      <protection locked="0"/>
    </xf>
    <xf numFmtId="0" fontId="51" fillId="0" borderId="186" xfId="0" applyFont="1" applyBorder="1" applyAlignment="1" applyProtection="1">
      <alignment horizontal="center" vertical="center"/>
      <protection locked="0"/>
    </xf>
    <xf numFmtId="0" fontId="24" fillId="0" borderId="110" xfId="0" applyFont="1" applyBorder="1" applyAlignment="1">
      <alignment horizontal="left" vertical="center"/>
    </xf>
    <xf numFmtId="0" fontId="24" fillId="0" borderId="109" xfId="0" applyFont="1" applyBorder="1" applyAlignment="1">
      <alignment horizontal="left" vertical="center"/>
    </xf>
    <xf numFmtId="0" fontId="24" fillId="0" borderId="109" xfId="0" applyFont="1" applyBorder="1" applyAlignment="1">
      <alignment horizontal="center" vertical="center"/>
    </xf>
    <xf numFmtId="0" fontId="24" fillId="0" borderId="151" xfId="0" applyFont="1" applyBorder="1" applyAlignment="1">
      <alignment horizontal="center" vertical="center"/>
    </xf>
    <xf numFmtId="0" fontId="24" fillId="6" borderId="109" xfId="0" applyFont="1" applyFill="1" applyBorder="1" applyAlignment="1">
      <alignment horizontal="center" vertical="center"/>
    </xf>
    <xf numFmtId="0" fontId="24" fillId="6" borderId="109" xfId="0" applyFont="1" applyFill="1" applyBorder="1" applyAlignment="1">
      <alignment horizontal="left" vertical="center"/>
    </xf>
    <xf numFmtId="0" fontId="24" fillId="6" borderId="151" xfId="0" applyFont="1" applyFill="1" applyBorder="1" applyAlignment="1">
      <alignment horizontal="left" vertical="center"/>
    </xf>
    <xf numFmtId="41" fontId="40" fillId="0" borderId="133" xfId="1" applyFont="1" applyBorder="1" applyAlignment="1" applyProtection="1">
      <alignment horizontal="center" vertical="center"/>
      <protection locked="0"/>
    </xf>
    <xf numFmtId="41" fontId="40" fillId="0" borderId="162" xfId="1" applyFont="1" applyBorder="1" applyAlignment="1" applyProtection="1">
      <alignment horizontal="center" vertical="center"/>
      <protection locked="0"/>
    </xf>
    <xf numFmtId="41" fontId="40" fillId="6" borderId="164" xfId="1" applyFont="1" applyFill="1" applyBorder="1" applyAlignment="1" applyProtection="1">
      <alignment horizontal="center" vertical="center"/>
      <protection locked="0"/>
    </xf>
    <xf numFmtId="41" fontId="40" fillId="0" borderId="164" xfId="1" applyFont="1" applyBorder="1" applyAlignment="1" applyProtection="1">
      <alignment horizontal="center" vertical="center"/>
      <protection locked="0"/>
    </xf>
    <xf numFmtId="41" fontId="40" fillId="0" borderId="165" xfId="1" applyFont="1" applyBorder="1" applyAlignment="1" applyProtection="1">
      <alignment horizontal="center" vertical="center"/>
      <protection locked="0"/>
    </xf>
    <xf numFmtId="41" fontId="40" fillId="6" borderId="133" xfId="1" applyFont="1" applyFill="1" applyBorder="1" applyAlignment="1" applyProtection="1">
      <alignment horizontal="center" vertical="center"/>
      <protection locked="0"/>
    </xf>
    <xf numFmtId="0" fontId="11" fillId="4" borderId="143" xfId="0" applyFont="1" applyFill="1" applyBorder="1" applyAlignment="1">
      <alignment horizontal="center" vertical="center" wrapText="1"/>
    </xf>
    <xf numFmtId="0" fontId="25" fillId="0" borderId="118" xfId="0" applyFont="1" applyBorder="1" applyAlignment="1">
      <alignment horizontal="left" vertical="center" wrapText="1"/>
    </xf>
    <xf numFmtId="0" fontId="25" fillId="0" borderId="123" xfId="0" applyFont="1" applyBorder="1" applyAlignment="1">
      <alignment horizontal="left" vertical="center" wrapText="1"/>
    </xf>
    <xf numFmtId="0" fontId="25" fillId="0" borderId="116" xfId="0" applyFont="1" applyBorder="1" applyAlignment="1">
      <alignment horizontal="left" vertical="center" wrapText="1"/>
    </xf>
    <xf numFmtId="0" fontId="35" fillId="0" borderId="122" xfId="0" applyFont="1" applyBorder="1" applyAlignment="1">
      <alignment horizontal="center" vertical="center"/>
    </xf>
    <xf numFmtId="0" fontId="35" fillId="0" borderId="124" xfId="0" applyFont="1" applyBorder="1" applyAlignment="1">
      <alignment horizontal="center" vertical="center"/>
    </xf>
    <xf numFmtId="0" fontId="35" fillId="0" borderId="144" xfId="0" applyFont="1" applyBorder="1" applyAlignment="1">
      <alignment horizontal="center" vertical="center"/>
    </xf>
    <xf numFmtId="0" fontId="36" fillId="0" borderId="145" xfId="0" applyFont="1" applyBorder="1" applyAlignment="1">
      <alignment horizontal="center" vertical="center"/>
    </xf>
    <xf numFmtId="0" fontId="24" fillId="0" borderId="146" xfId="0" applyFont="1" applyBorder="1" applyAlignment="1">
      <alignment horizontal="left" vertical="center"/>
    </xf>
    <xf numFmtId="0" fontId="24" fillId="0" borderId="147" xfId="0" applyFont="1" applyBorder="1" applyAlignment="1">
      <alignment horizontal="left" vertical="center"/>
    </xf>
    <xf numFmtId="0" fontId="24" fillId="0" borderId="148" xfId="0" applyFont="1" applyBorder="1" applyAlignment="1">
      <alignment horizontal="left" vertical="center"/>
    </xf>
    <xf numFmtId="0" fontId="24" fillId="0" borderId="150" xfId="0" applyFont="1" applyBorder="1" applyAlignment="1">
      <alignment horizontal="left" vertical="center"/>
    </xf>
    <xf numFmtId="0" fontId="24" fillId="0" borderId="152" xfId="0" applyFont="1" applyBorder="1" applyAlignment="1">
      <alignment horizontal="left" vertical="center"/>
    </xf>
    <xf numFmtId="0" fontId="24" fillId="0" borderId="153" xfId="0" applyFont="1" applyBorder="1" applyAlignment="1">
      <alignment horizontal="left" vertical="center"/>
    </xf>
    <xf numFmtId="0" fontId="24" fillId="0" borderId="154" xfId="0" applyFont="1" applyBorder="1" applyAlignment="1">
      <alignment horizontal="left" vertical="center"/>
    </xf>
    <xf numFmtId="0" fontId="24" fillId="0" borderId="147" xfId="0" applyFont="1" applyBorder="1" applyAlignment="1">
      <alignment horizontal="center" vertical="center"/>
    </xf>
    <xf numFmtId="0" fontId="24" fillId="0" borderId="149" xfId="0" applyFont="1" applyBorder="1" applyAlignment="1">
      <alignment horizontal="center" vertical="center"/>
    </xf>
    <xf numFmtId="0" fontId="51" fillId="0" borderId="160" xfId="0" applyFont="1" applyBorder="1" applyAlignment="1">
      <alignment horizontal="center" vertical="center" wrapText="1"/>
    </xf>
    <xf numFmtId="0" fontId="51" fillId="0" borderId="162" xfId="0" applyFont="1" applyBorder="1" applyAlignment="1">
      <alignment horizontal="center" vertical="center" wrapText="1"/>
    </xf>
    <xf numFmtId="0" fontId="24" fillId="6" borderId="163" xfId="0" applyFont="1" applyFill="1" applyBorder="1" applyAlignment="1">
      <alignment horizontal="center" vertical="center"/>
    </xf>
    <xf numFmtId="0" fontId="24" fillId="6" borderId="164" xfId="0" applyFont="1" applyFill="1" applyBorder="1" applyAlignment="1">
      <alignment horizontal="center" vertical="center"/>
    </xf>
    <xf numFmtId="0" fontId="26" fillId="6" borderId="164" xfId="0" applyFont="1" applyFill="1" applyBorder="1" applyAlignment="1">
      <alignment horizontal="center" vertical="center" shrinkToFit="1"/>
    </xf>
    <xf numFmtId="0" fontId="26" fillId="6" borderId="165" xfId="0" applyFont="1" applyFill="1" applyBorder="1" applyAlignment="1">
      <alignment horizontal="center" vertical="center" shrinkToFit="1"/>
    </xf>
    <xf numFmtId="0" fontId="27" fillId="0" borderId="159" xfId="0" applyFont="1" applyBorder="1" applyAlignment="1">
      <alignment horizontal="center" vertical="center" shrinkToFit="1"/>
    </xf>
    <xf numFmtId="0" fontId="27" fillId="0" borderId="160" xfId="0" applyFont="1" applyBorder="1" applyAlignment="1">
      <alignment horizontal="center" vertical="center" shrinkToFit="1"/>
    </xf>
    <xf numFmtId="0" fontId="24" fillId="6" borderId="161" xfId="0" applyFont="1" applyFill="1" applyBorder="1" applyAlignment="1">
      <alignment horizontal="center" vertical="center"/>
    </xf>
    <xf numFmtId="0" fontId="24" fillId="6" borderId="133" xfId="0" applyFont="1" applyFill="1" applyBorder="1" applyAlignment="1">
      <alignment horizontal="center" vertical="center"/>
    </xf>
    <xf numFmtId="0" fontId="26" fillId="6" borderId="133" xfId="0" applyFont="1" applyFill="1" applyBorder="1" applyAlignment="1">
      <alignment horizontal="center" vertical="center" shrinkToFit="1"/>
    </xf>
    <xf numFmtId="0" fontId="26" fillId="6" borderId="162" xfId="0" applyFont="1" applyFill="1" applyBorder="1" applyAlignment="1">
      <alignment horizontal="center" vertical="center" shrinkToFit="1"/>
    </xf>
    <xf numFmtId="0" fontId="24" fillId="0" borderId="155" xfId="0" applyFont="1" applyBorder="1" applyAlignment="1">
      <alignment horizontal="left" vertical="center"/>
    </xf>
    <xf numFmtId="0" fontId="24" fillId="0" borderId="156" xfId="0" applyFont="1" applyBorder="1" applyAlignment="1">
      <alignment horizontal="left" vertical="center"/>
    </xf>
    <xf numFmtId="0" fontId="24" fillId="6" borderId="156" xfId="0" applyFont="1" applyFill="1" applyBorder="1" applyAlignment="1">
      <alignment horizontal="center" vertical="center"/>
    </xf>
    <xf numFmtId="0" fontId="24" fillId="6" borderId="156" xfId="0" applyFont="1" applyFill="1" applyBorder="1" applyAlignment="1">
      <alignment horizontal="left" vertical="center"/>
    </xf>
    <xf numFmtId="0" fontId="24" fillId="6" borderId="157" xfId="0" applyFont="1" applyFill="1" applyBorder="1" applyAlignment="1">
      <alignment horizontal="left" vertical="center"/>
    </xf>
    <xf numFmtId="0" fontId="24" fillId="6" borderId="165" xfId="0" applyFont="1" applyFill="1" applyBorder="1" applyAlignment="1">
      <alignment horizontal="center" vertical="center"/>
    </xf>
    <xf numFmtId="0" fontId="27" fillId="0" borderId="158" xfId="0" applyFont="1" applyBorder="1" applyAlignment="1">
      <alignment horizontal="center" vertical="center" shrinkToFit="1"/>
    </xf>
    <xf numFmtId="0" fontId="26" fillId="0" borderId="158" xfId="0" applyFont="1" applyBorder="1" applyAlignment="1">
      <alignment horizontal="center" vertical="center" shrinkToFit="1"/>
    </xf>
    <xf numFmtId="0" fontId="26" fillId="0" borderId="159" xfId="0" applyFont="1" applyBorder="1" applyAlignment="1">
      <alignment horizontal="center" vertical="center" shrinkToFit="1"/>
    </xf>
    <xf numFmtId="0" fontId="26" fillId="0" borderId="160" xfId="0" applyFont="1" applyBorder="1" applyAlignment="1">
      <alignment horizontal="center" vertical="center" shrinkToFit="1"/>
    </xf>
    <xf numFmtId="0" fontId="24" fillId="6" borderId="162" xfId="0" applyFont="1" applyFill="1" applyBorder="1" applyAlignment="1">
      <alignment horizontal="center" vertical="center"/>
    </xf>
    <xf numFmtId="0" fontId="24" fillId="0" borderId="133" xfId="0" applyFont="1" applyBorder="1" applyAlignment="1">
      <alignment horizontal="center" vertical="center"/>
    </xf>
    <xf numFmtId="0" fontId="24" fillId="0" borderId="162" xfId="0" applyFont="1" applyBorder="1" applyAlignment="1">
      <alignment horizontal="center" vertical="center"/>
    </xf>
    <xf numFmtId="0" fontId="24" fillId="0" borderId="164" xfId="0" applyFont="1" applyBorder="1" applyAlignment="1">
      <alignment horizontal="center" vertical="center"/>
    </xf>
    <xf numFmtId="0" fontId="24" fillId="0" borderId="165" xfId="0" applyFont="1" applyBorder="1" applyAlignment="1">
      <alignment horizontal="center" vertical="center"/>
    </xf>
    <xf numFmtId="0" fontId="24" fillId="0" borderId="158" xfId="0" applyFont="1" applyBorder="1" applyAlignment="1">
      <alignment horizontal="center" vertical="center"/>
    </xf>
    <xf numFmtId="0" fontId="24" fillId="0" borderId="159" xfId="0" applyFont="1" applyBorder="1" applyAlignment="1">
      <alignment horizontal="center" vertical="center"/>
    </xf>
    <xf numFmtId="0" fontId="24" fillId="0" borderId="160" xfId="0" applyFont="1" applyBorder="1" applyAlignment="1">
      <alignment horizontal="center" vertical="center"/>
    </xf>
    <xf numFmtId="0" fontId="27" fillId="6" borderId="161" xfId="0" applyFont="1" applyFill="1" applyBorder="1" applyAlignment="1">
      <alignment horizontal="center" vertical="center"/>
    </xf>
    <xf numFmtId="0" fontId="27" fillId="6" borderId="133" xfId="0" applyFont="1" applyFill="1" applyBorder="1" applyAlignment="1">
      <alignment horizontal="center" vertical="center"/>
    </xf>
    <xf numFmtId="0" fontId="27" fillId="0" borderId="133" xfId="0" applyFont="1" applyBorder="1" applyAlignment="1">
      <alignment horizontal="center" vertical="center"/>
    </xf>
    <xf numFmtId="0" fontId="27" fillId="0" borderId="162" xfId="0" applyFont="1" applyBorder="1" applyAlignment="1">
      <alignment horizontal="center" vertical="center"/>
    </xf>
    <xf numFmtId="0" fontId="24" fillId="0" borderId="164" xfId="0" applyFont="1" applyBorder="1" applyAlignment="1">
      <alignment horizontal="left" vertical="center"/>
    </xf>
    <xf numFmtId="0" fontId="24" fillId="6" borderId="164" xfId="0" applyFont="1" applyFill="1" applyBorder="1" applyAlignment="1">
      <alignment horizontal="left" vertical="center"/>
    </xf>
    <xf numFmtId="0" fontId="24" fillId="6" borderId="165" xfId="0" applyFont="1" applyFill="1" applyBorder="1" applyAlignment="1">
      <alignment horizontal="left" vertical="center"/>
    </xf>
    <xf numFmtId="0" fontId="24" fillId="0" borderId="133" xfId="0" applyFont="1" applyBorder="1" applyAlignment="1">
      <alignment horizontal="left" vertical="center"/>
    </xf>
    <xf numFmtId="0" fontId="24" fillId="6" borderId="133" xfId="0" applyFont="1" applyFill="1" applyBorder="1" applyAlignment="1">
      <alignment horizontal="left" vertical="center"/>
    </xf>
    <xf numFmtId="0" fontId="24" fillId="6" borderId="162" xfId="0" applyFont="1" applyFill="1" applyBorder="1" applyAlignment="1">
      <alignment horizontal="left" vertical="center"/>
    </xf>
    <xf numFmtId="0" fontId="20" fillId="0" borderId="122" xfId="0" applyFont="1" applyBorder="1" applyAlignment="1">
      <alignment horizontal="left" vertical="center" wrapText="1"/>
    </xf>
    <xf numFmtId="0" fontId="20" fillId="0" borderId="124" xfId="0" applyFont="1" applyBorder="1" applyAlignment="1">
      <alignment horizontal="left" vertical="center" wrapText="1"/>
    </xf>
    <xf numFmtId="0" fontId="20" fillId="0" borderId="144" xfId="0" applyFont="1" applyBorder="1" applyAlignment="1">
      <alignment horizontal="left" vertical="center" wrapText="1"/>
    </xf>
    <xf numFmtId="0" fontId="33" fillId="0" borderId="138" xfId="0" applyFont="1" applyBorder="1" applyAlignment="1">
      <alignment horizontal="center" vertical="center"/>
    </xf>
    <xf numFmtId="0" fontId="33" fillId="0" borderId="139" xfId="0" applyFont="1" applyBorder="1" applyAlignment="1">
      <alignment horizontal="center" vertical="center"/>
    </xf>
    <xf numFmtId="0" fontId="33" fillId="0" borderId="140" xfId="0" applyFont="1" applyBorder="1" applyAlignment="1">
      <alignment horizontal="center" vertical="center"/>
    </xf>
    <xf numFmtId="0" fontId="22" fillId="0" borderId="158" xfId="0" applyFont="1" applyBorder="1" applyAlignment="1">
      <alignment horizontal="left" vertical="center"/>
    </xf>
    <xf numFmtId="0" fontId="22" fillId="0" borderId="159" xfId="0" applyFont="1" applyBorder="1" applyAlignment="1">
      <alignment horizontal="left" vertical="center"/>
    </xf>
    <xf numFmtId="0" fontId="22" fillId="0" borderId="161" xfId="0" applyFont="1" applyBorder="1" applyAlignment="1">
      <alignment horizontal="left" vertical="center"/>
    </xf>
    <xf numFmtId="0" fontId="22" fillId="0" borderId="133" xfId="0" applyFont="1" applyBorder="1" applyAlignment="1">
      <alignment horizontal="left" vertical="center"/>
    </xf>
    <xf numFmtId="0" fontId="22" fillId="0" borderId="163" xfId="0" applyFont="1" applyBorder="1" applyAlignment="1">
      <alignment horizontal="left" vertical="center"/>
    </xf>
    <xf numFmtId="0" fontId="22" fillId="0" borderId="164" xfId="0" applyFont="1" applyBorder="1" applyAlignment="1">
      <alignment horizontal="left" vertical="center"/>
    </xf>
    <xf numFmtId="0" fontId="24" fillId="0" borderId="159" xfId="0" applyFont="1" applyBorder="1" applyAlignment="1">
      <alignment horizontal="left" vertical="center"/>
    </xf>
    <xf numFmtId="0" fontId="20" fillId="0" borderId="134" xfId="0" applyFont="1" applyBorder="1" applyAlignment="1">
      <alignment horizontal="center" vertical="center" wrapText="1"/>
    </xf>
    <xf numFmtId="0" fontId="20" fillId="0" borderId="134" xfId="0" applyFont="1" applyBorder="1" applyAlignment="1">
      <alignment horizontal="left" vertical="center" wrapText="1"/>
    </xf>
    <xf numFmtId="0" fontId="11" fillId="4" borderId="135" xfId="0" applyFont="1" applyFill="1" applyBorder="1" applyAlignment="1">
      <alignment horizontal="center" vertical="center" wrapText="1"/>
    </xf>
    <xf numFmtId="0" fontId="11" fillId="4" borderId="136" xfId="0" applyFont="1" applyFill="1" applyBorder="1" applyAlignment="1">
      <alignment horizontal="center" vertical="center" wrapText="1"/>
    </xf>
    <xf numFmtId="0" fontId="11" fillId="4" borderId="137" xfId="0" applyFont="1" applyFill="1" applyBorder="1" applyAlignment="1">
      <alignment horizontal="center" vertical="center" wrapText="1"/>
    </xf>
    <xf numFmtId="0" fontId="20" fillId="0" borderId="133" xfId="0" applyFont="1" applyBorder="1" applyAlignment="1">
      <alignment horizontal="left" vertical="center" wrapText="1"/>
    </xf>
    <xf numFmtId="0" fontId="20" fillId="0" borderId="133" xfId="0" applyFont="1" applyBorder="1" applyAlignment="1">
      <alignment horizontal="center" vertical="center" wrapText="1"/>
    </xf>
    <xf numFmtId="0" fontId="11" fillId="4" borderId="106" xfId="0" applyFont="1" applyFill="1" applyBorder="1" applyAlignment="1">
      <alignment horizontal="center" vertical="center" wrapText="1"/>
    </xf>
    <xf numFmtId="0" fontId="11" fillId="4" borderId="107" xfId="0" applyFont="1" applyFill="1" applyBorder="1" applyAlignment="1">
      <alignment horizontal="center" vertical="center" wrapText="1"/>
    </xf>
    <xf numFmtId="0" fontId="11" fillId="4" borderId="108" xfId="0" applyFont="1" applyFill="1" applyBorder="1" applyAlignment="1">
      <alignment horizontal="center" vertical="center" wrapText="1"/>
    </xf>
    <xf numFmtId="0" fontId="20" fillId="0" borderId="103" xfId="0" applyFont="1" applyBorder="1" applyAlignment="1">
      <alignment horizontal="left" vertical="center" wrapText="1"/>
    </xf>
    <xf numFmtId="0" fontId="20" fillId="0" borderId="104" xfId="0" applyFont="1" applyBorder="1" applyAlignment="1">
      <alignment horizontal="left" vertical="center" wrapText="1"/>
    </xf>
    <xf numFmtId="0" fontId="20" fillId="0" borderId="105" xfId="0" applyFont="1" applyBorder="1" applyAlignment="1">
      <alignment horizontal="left" vertical="center" wrapText="1"/>
    </xf>
    <xf numFmtId="0" fontId="20" fillId="0" borderId="109" xfId="0" applyFont="1" applyBorder="1" applyAlignment="1">
      <alignment horizontal="center" vertical="center" wrapText="1"/>
    </xf>
    <xf numFmtId="0" fontId="25" fillId="0" borderId="109" xfId="0" applyFont="1" applyBorder="1" applyAlignment="1">
      <alignment horizontal="left" vertical="center" wrapText="1"/>
    </xf>
    <xf numFmtId="0" fontId="20" fillId="0" borderId="109" xfId="0" applyFont="1" applyBorder="1" applyAlignment="1">
      <alignment horizontal="left" vertical="center" wrapText="1"/>
    </xf>
    <xf numFmtId="0" fontId="25" fillId="0" borderId="133" xfId="0" applyFont="1" applyBorder="1" applyAlignment="1">
      <alignment horizontal="left" vertical="center" wrapText="1"/>
    </xf>
    <xf numFmtId="0" fontId="7" fillId="0" borderId="133" xfId="0" applyFont="1" applyBorder="1" applyAlignment="1">
      <alignment horizontal="center" vertical="center" wrapText="1"/>
    </xf>
    <xf numFmtId="0" fontId="7" fillId="0" borderId="133" xfId="0" applyFont="1" applyBorder="1" applyAlignment="1">
      <alignment horizontal="left" vertical="center" wrapText="1"/>
    </xf>
    <xf numFmtId="0" fontId="19" fillId="0" borderId="123" xfId="0" applyFont="1" applyBorder="1" applyAlignment="1">
      <alignment horizontal="center" vertical="center" wrapText="1"/>
    </xf>
    <xf numFmtId="0" fontId="19" fillId="0" borderId="123" xfId="0" applyFont="1" applyBorder="1" applyAlignment="1">
      <alignment horizontal="left" vertical="center" wrapText="1"/>
    </xf>
    <xf numFmtId="0" fontId="19" fillId="0" borderId="123" xfId="0" applyFont="1" applyBorder="1" applyAlignment="1">
      <alignment horizontal="left" vertical="center"/>
    </xf>
    <xf numFmtId="0" fontId="19" fillId="0" borderId="123" xfId="0" applyFont="1" applyBorder="1" applyAlignment="1">
      <alignment horizontal="center" vertical="center" wrapText="1" shrinkToFit="1"/>
    </xf>
    <xf numFmtId="0" fontId="19" fillId="0" borderId="123" xfId="0" applyFont="1" applyBorder="1" applyAlignment="1">
      <alignment horizontal="center" vertical="center" shrinkToFit="1"/>
    </xf>
    <xf numFmtId="0" fontId="14" fillId="0" borderId="123" xfId="0" applyFont="1" applyBorder="1" applyAlignment="1">
      <alignment horizontal="center" vertical="center" wrapText="1" shrinkToFit="1"/>
    </xf>
    <xf numFmtId="0" fontId="14" fillId="0" borderId="123" xfId="0" applyFont="1" applyBorder="1" applyAlignment="1">
      <alignment horizontal="center" vertical="center" shrinkToFit="1"/>
    </xf>
    <xf numFmtId="0" fontId="14" fillId="0" borderId="123" xfId="0" applyFont="1" applyBorder="1" applyAlignment="1">
      <alignment horizontal="left" vertical="center" wrapText="1"/>
    </xf>
    <xf numFmtId="0" fontId="14" fillId="0" borderId="123" xfId="0" applyFont="1" applyBorder="1" applyAlignment="1">
      <alignment horizontal="left" vertical="center"/>
    </xf>
    <xf numFmtId="0" fontId="20" fillId="0" borderId="128" xfId="0" applyFont="1" applyBorder="1" applyAlignment="1">
      <alignment horizontal="center" vertical="center" wrapText="1"/>
    </xf>
    <xf numFmtId="0" fontId="20" fillId="0" borderId="129" xfId="0" applyFont="1" applyBorder="1" applyAlignment="1">
      <alignment horizontal="center" vertical="center" wrapText="1"/>
    </xf>
    <xf numFmtId="0" fontId="20" fillId="0" borderId="130" xfId="0" applyFont="1" applyBorder="1" applyAlignment="1">
      <alignment horizontal="center" vertical="center" wrapText="1"/>
    </xf>
    <xf numFmtId="0" fontId="20" fillId="0" borderId="128" xfId="0" applyFont="1" applyBorder="1" applyAlignment="1">
      <alignment horizontal="left" vertical="center" wrapText="1"/>
    </xf>
    <xf numFmtId="0" fontId="20" fillId="0" borderId="129" xfId="0" applyFont="1" applyBorder="1" applyAlignment="1">
      <alignment horizontal="left" vertical="center"/>
    </xf>
    <xf numFmtId="0" fontId="20" fillId="0" borderId="130" xfId="0" applyFont="1" applyBorder="1" applyAlignment="1">
      <alignment horizontal="left" vertical="center"/>
    </xf>
    <xf numFmtId="0" fontId="30" fillId="0" borderId="103" xfId="0" applyFont="1" applyBorder="1" applyAlignment="1">
      <alignment horizontal="center" vertical="center"/>
    </xf>
    <xf numFmtId="0" fontId="30" fillId="0" borderId="104" xfId="0" applyFont="1" applyBorder="1" applyAlignment="1">
      <alignment horizontal="center" vertical="center"/>
    </xf>
    <xf numFmtId="0" fontId="30" fillId="0" borderId="105" xfId="0" applyFont="1" applyBorder="1" applyAlignment="1">
      <alignment horizontal="center" vertical="center"/>
    </xf>
    <xf numFmtId="0" fontId="11" fillId="4" borderId="132" xfId="0" applyFont="1" applyFill="1" applyBorder="1" applyAlignment="1">
      <alignment horizontal="center" vertical="center" wrapText="1"/>
    </xf>
    <xf numFmtId="0" fontId="20" fillId="0" borderId="159" xfId="0" applyFont="1" applyBorder="1" applyAlignment="1">
      <alignment horizontal="center" vertical="center" wrapText="1"/>
    </xf>
    <xf numFmtId="0" fontId="7" fillId="0" borderId="123" xfId="0" applyFont="1" applyBorder="1" applyAlignment="1">
      <alignment horizontal="left" vertical="center"/>
    </xf>
    <xf numFmtId="0" fontId="49" fillId="0" borderId="123" xfId="0" applyFont="1" applyBorder="1" applyAlignment="1">
      <alignment horizontal="left" vertical="center" wrapText="1"/>
    </xf>
    <xf numFmtId="0" fontId="7" fillId="0" borderId="125" xfId="0" applyFont="1" applyBorder="1" applyAlignment="1">
      <alignment horizontal="left" vertical="center" wrapText="1"/>
    </xf>
    <xf numFmtId="0" fontId="7" fillId="0" borderId="126" xfId="0" applyFont="1" applyBorder="1" applyAlignment="1">
      <alignment horizontal="left" vertical="center"/>
    </xf>
    <xf numFmtId="0" fontId="7" fillId="0" borderId="127" xfId="0" applyFont="1" applyBorder="1" applyAlignment="1">
      <alignment horizontal="left" vertical="center"/>
    </xf>
    <xf numFmtId="0" fontId="20" fillId="0" borderId="131" xfId="0" applyFont="1" applyBorder="1" applyAlignment="1">
      <alignment horizontal="center" vertical="center" wrapText="1"/>
    </xf>
    <xf numFmtId="0" fontId="20" fillId="0" borderId="131" xfId="0" applyFont="1" applyBorder="1" applyAlignment="1">
      <alignment horizontal="left" vertical="center" wrapText="1"/>
    </xf>
    <xf numFmtId="0" fontId="20" fillId="0" borderId="105" xfId="0" applyFont="1" applyBorder="1" applyAlignment="1">
      <alignment horizontal="center" vertical="center" wrapText="1" shrinkToFit="1"/>
    </xf>
    <xf numFmtId="0" fontId="20" fillId="0" borderId="113" xfId="0" applyFont="1" applyBorder="1" applyAlignment="1">
      <alignment horizontal="center" vertical="center" wrapText="1" shrinkToFit="1"/>
    </xf>
    <xf numFmtId="0" fontId="20" fillId="0" borderId="103" xfId="0" applyFont="1" applyBorder="1" applyAlignment="1">
      <alignment horizontal="center" vertical="center" wrapText="1" shrinkToFit="1"/>
    </xf>
    <xf numFmtId="0" fontId="20" fillId="0" borderId="108" xfId="0" applyFont="1" applyBorder="1" applyAlignment="1">
      <alignment horizontal="center" vertical="center" wrapText="1" shrinkToFit="1"/>
    </xf>
    <xf numFmtId="0" fontId="20" fillId="0" borderId="114" xfId="0" applyFont="1" applyBorder="1" applyAlignment="1">
      <alignment horizontal="center" vertical="center" wrapText="1" shrinkToFit="1"/>
    </xf>
    <xf numFmtId="0" fontId="20" fillId="0" borderId="106" xfId="0" applyFont="1" applyBorder="1" applyAlignment="1">
      <alignment horizontal="center" vertical="center" wrapText="1" shrinkToFit="1"/>
    </xf>
    <xf numFmtId="0" fontId="20" fillId="0" borderId="105" xfId="0" applyFont="1" applyBorder="1" applyAlignment="1">
      <alignment horizontal="center" vertical="center" wrapText="1"/>
    </xf>
    <xf numFmtId="0" fontId="20" fillId="0" borderId="113" xfId="0" applyFont="1" applyBorder="1" applyAlignment="1">
      <alignment horizontal="center" vertical="center" wrapText="1"/>
    </xf>
    <xf numFmtId="0" fontId="20" fillId="0" borderId="103" xfId="0" applyFont="1" applyBorder="1" applyAlignment="1">
      <alignment horizontal="center" vertical="center" wrapText="1"/>
    </xf>
    <xf numFmtId="0" fontId="20" fillId="0" borderId="108" xfId="0" applyFont="1" applyBorder="1" applyAlignment="1">
      <alignment horizontal="center" vertical="center" wrapText="1"/>
    </xf>
    <xf numFmtId="0" fontId="20" fillId="0" borderId="114" xfId="0" applyFont="1" applyBorder="1" applyAlignment="1">
      <alignment horizontal="center" vertical="center" wrapText="1"/>
    </xf>
    <xf numFmtId="0" fontId="20" fillId="0" borderId="106" xfId="0" applyFont="1" applyBorder="1" applyAlignment="1">
      <alignment horizontal="center" vertical="center" wrapText="1"/>
    </xf>
    <xf numFmtId="0" fontId="20" fillId="0" borderId="213" xfId="0" applyFont="1" applyBorder="1" applyAlignment="1">
      <alignment horizontal="center" vertical="center" wrapText="1"/>
    </xf>
    <xf numFmtId="0" fontId="20" fillId="0" borderId="214" xfId="0" applyFont="1" applyBorder="1" applyAlignment="1">
      <alignment horizontal="center" vertical="center" wrapText="1"/>
    </xf>
    <xf numFmtId="0" fontId="20" fillId="0" borderId="152" xfId="0" applyFont="1" applyBorder="1" applyAlignment="1">
      <alignment horizontal="center" vertical="center" wrapText="1"/>
    </xf>
    <xf numFmtId="0" fontId="20" fillId="0" borderId="116" xfId="0" applyFont="1" applyBorder="1" applyAlignment="1">
      <alignment horizontal="center" vertical="center" wrapText="1"/>
    </xf>
    <xf numFmtId="0" fontId="20" fillId="0" borderId="117" xfId="0" applyFont="1" applyBorder="1" applyAlignment="1">
      <alignment horizontal="center" vertical="center" wrapText="1"/>
    </xf>
    <xf numFmtId="0" fontId="20" fillId="0" borderId="118" xfId="0" applyFont="1" applyBorder="1" applyAlignment="1">
      <alignment horizontal="center" vertical="center" wrapText="1"/>
    </xf>
    <xf numFmtId="0" fontId="7" fillId="0" borderId="119" xfId="0" applyFont="1" applyBorder="1" applyAlignment="1">
      <alignment horizontal="left" vertical="center"/>
    </xf>
    <xf numFmtId="0" fontId="7" fillId="0" borderId="120" xfId="0" applyFont="1" applyBorder="1" applyAlignment="1">
      <alignment horizontal="left" vertical="center"/>
    </xf>
    <xf numFmtId="0" fontId="7" fillId="0" borderId="121" xfId="0" applyFont="1" applyBorder="1" applyAlignment="1">
      <alignment horizontal="left" vertical="center"/>
    </xf>
    <xf numFmtId="0" fontId="7" fillId="0" borderId="123" xfId="0" applyFont="1" applyBorder="1" applyAlignment="1">
      <alignment horizontal="center" vertical="center"/>
    </xf>
    <xf numFmtId="0" fontId="7" fillId="0" borderId="123" xfId="0" applyFont="1" applyBorder="1" applyAlignment="1">
      <alignment horizontal="left" vertical="center" wrapText="1"/>
    </xf>
    <xf numFmtId="0" fontId="19" fillId="0" borderId="109" xfId="0" applyFont="1" applyBorder="1" applyAlignment="1">
      <alignment horizontal="center" vertical="center" wrapText="1"/>
    </xf>
    <xf numFmtId="0" fontId="19" fillId="0" borderId="109" xfId="0" applyFont="1" applyBorder="1" applyAlignment="1">
      <alignment horizontal="center" vertical="center"/>
    </xf>
    <xf numFmtId="0" fontId="20" fillId="0" borderId="109" xfId="0" applyFont="1" applyBorder="1" applyAlignment="1">
      <alignment horizontal="left" vertical="center"/>
    </xf>
    <xf numFmtId="0" fontId="29" fillId="0" borderId="109" xfId="0" applyFont="1" applyBorder="1" applyAlignment="1">
      <alignment horizontal="center" vertical="center"/>
    </xf>
    <xf numFmtId="0" fontId="20" fillId="0" borderId="109" xfId="0" applyFont="1" applyBorder="1" applyAlignment="1">
      <alignment horizontal="center" vertical="center"/>
    </xf>
    <xf numFmtId="0" fontId="20" fillId="0" borderId="111" xfId="0" applyFont="1" applyBorder="1" applyAlignment="1">
      <alignment horizontal="center" vertical="center"/>
    </xf>
    <xf numFmtId="0" fontId="20" fillId="0" borderId="112" xfId="0" applyFont="1" applyBorder="1" applyAlignment="1">
      <alignment horizontal="center" vertical="center"/>
    </xf>
    <xf numFmtId="0" fontId="20" fillId="0" borderId="110" xfId="0" applyFont="1" applyBorder="1" applyAlignment="1">
      <alignment horizontal="center" vertical="center"/>
    </xf>
    <xf numFmtId="0" fontId="25" fillId="0" borderId="105" xfId="0" applyFont="1" applyBorder="1" applyAlignment="1">
      <alignment horizontal="center" vertical="center" wrapText="1" shrinkToFit="1"/>
    </xf>
    <xf numFmtId="0" fontId="25" fillId="0" borderId="113" xfId="0" applyFont="1" applyBorder="1" applyAlignment="1">
      <alignment horizontal="center" vertical="center" shrinkToFit="1"/>
    </xf>
    <xf numFmtId="0" fontId="25" fillId="0" borderId="103" xfId="0" applyFont="1" applyBorder="1" applyAlignment="1">
      <alignment horizontal="center" vertical="center" shrinkToFit="1"/>
    </xf>
    <xf numFmtId="0" fontId="25" fillId="0" borderId="108" xfId="0" applyFont="1" applyBorder="1" applyAlignment="1">
      <alignment horizontal="center" vertical="center" shrinkToFit="1"/>
    </xf>
    <xf numFmtId="0" fontId="25" fillId="0" borderId="114" xfId="0" applyFont="1" applyBorder="1" applyAlignment="1">
      <alignment horizontal="center" vertical="center" shrinkToFit="1"/>
    </xf>
    <xf numFmtId="0" fontId="25" fillId="0" borderId="106" xfId="0" applyFont="1" applyBorder="1" applyAlignment="1">
      <alignment horizontal="center" vertical="center" shrinkToFit="1"/>
    </xf>
    <xf numFmtId="0" fontId="20" fillId="0" borderId="213" xfId="0" applyFont="1" applyBorder="1" applyAlignment="1">
      <alignment horizontal="left" vertical="center" wrapText="1"/>
    </xf>
    <xf numFmtId="0" fontId="20" fillId="0" borderId="214" xfId="0" applyFont="1" applyBorder="1" applyAlignment="1">
      <alignment horizontal="left" vertical="center" wrapText="1"/>
    </xf>
    <xf numFmtId="0" fontId="20" fillId="0" borderId="152" xfId="0" applyFont="1" applyBorder="1" applyAlignment="1">
      <alignment horizontal="left" vertical="center" wrapText="1"/>
    </xf>
    <xf numFmtId="0" fontId="20" fillId="0" borderId="147" xfId="0" applyFont="1" applyBorder="1" applyAlignment="1">
      <alignment horizontal="center" vertical="center" wrapText="1"/>
    </xf>
    <xf numFmtId="0" fontId="20" fillId="0" borderId="147" xfId="0" applyFont="1" applyBorder="1" applyAlignment="1">
      <alignment horizontal="left" vertical="center" wrapText="1"/>
    </xf>
    <xf numFmtId="0" fontId="19" fillId="0" borderId="104" xfId="0" applyFont="1" applyBorder="1" applyAlignment="1">
      <alignment horizontal="center" vertical="center"/>
    </xf>
    <xf numFmtId="0" fontId="19" fillId="0" borderId="104" xfId="0" applyFont="1" applyBorder="1" applyAlignment="1">
      <alignment horizontal="left" vertical="center" wrapText="1"/>
    </xf>
    <xf numFmtId="0" fontId="19" fillId="0" borderId="104" xfId="0" applyFont="1" applyBorder="1" applyAlignment="1">
      <alignment horizontal="left" vertical="center"/>
    </xf>
    <xf numFmtId="0" fontId="30" fillId="0" borderId="188" xfId="0" applyFont="1" applyBorder="1" applyAlignment="1">
      <alignment horizontal="center" vertical="center"/>
    </xf>
    <xf numFmtId="0" fontId="30" fillId="0" borderId="129" xfId="0" applyFont="1" applyBorder="1" applyAlignment="1">
      <alignment horizontal="center" vertical="center"/>
    </xf>
    <xf numFmtId="0" fontId="30" fillId="0" borderId="189" xfId="0" applyFont="1" applyBorder="1" applyAlignment="1">
      <alignment horizontal="center" vertical="center"/>
    </xf>
    <xf numFmtId="0" fontId="19" fillId="0" borderId="107" xfId="0" applyFont="1" applyBorder="1" applyAlignment="1">
      <alignment horizontal="center" vertical="center"/>
    </xf>
    <xf numFmtId="0" fontId="25" fillId="0" borderId="107" xfId="0" applyFont="1" applyBorder="1" applyAlignment="1">
      <alignment horizontal="left" vertical="center" wrapText="1"/>
    </xf>
    <xf numFmtId="0" fontId="25" fillId="0" borderId="107" xfId="0" applyFont="1" applyBorder="1" applyAlignment="1">
      <alignment horizontal="left" vertical="center"/>
    </xf>
    <xf numFmtId="0" fontId="25" fillId="0" borderId="109" xfId="0" applyFont="1" applyBorder="1" applyAlignment="1">
      <alignment horizontal="left" vertical="center"/>
    </xf>
    <xf numFmtId="0" fontId="11" fillId="4" borderId="100" xfId="0" applyFont="1" applyFill="1" applyBorder="1" applyAlignment="1">
      <alignment horizontal="center" vertical="center" wrapText="1"/>
    </xf>
    <xf numFmtId="0" fontId="11" fillId="4" borderId="101" xfId="0" applyFont="1" applyFill="1" applyBorder="1" applyAlignment="1">
      <alignment horizontal="center" vertical="center" wrapText="1"/>
    </xf>
    <xf numFmtId="0" fontId="11" fillId="4" borderId="102" xfId="0" applyFont="1" applyFill="1" applyBorder="1" applyAlignment="1">
      <alignment horizontal="center" vertical="center" wrapText="1"/>
    </xf>
    <xf numFmtId="0" fontId="19" fillId="0" borderId="107" xfId="0" applyFont="1" applyBorder="1" applyAlignment="1">
      <alignment horizontal="center" vertical="center" wrapText="1"/>
    </xf>
    <xf numFmtId="0" fontId="19" fillId="0" borderId="107" xfId="0" applyFont="1" applyBorder="1" applyAlignment="1">
      <alignment horizontal="left" vertical="center" wrapText="1"/>
    </xf>
    <xf numFmtId="0" fontId="19" fillId="0" borderId="107" xfId="0" applyFont="1" applyBorder="1" applyAlignment="1">
      <alignment horizontal="left" vertical="center"/>
    </xf>
    <xf numFmtId="0" fontId="19" fillId="0" borderId="109" xfId="0" applyFont="1" applyBorder="1" applyAlignment="1">
      <alignment horizontal="left" vertical="center" wrapText="1"/>
    </xf>
    <xf numFmtId="0" fontId="19" fillId="0" borderId="109" xfId="0" applyFont="1" applyBorder="1" applyAlignment="1">
      <alignment horizontal="left" vertical="center"/>
    </xf>
    <xf numFmtId="0" fontId="23" fillId="0" borderId="72" xfId="0" applyFont="1" applyBorder="1" applyAlignment="1">
      <alignment horizontal="left" vertical="center" wrapText="1"/>
    </xf>
    <xf numFmtId="0" fontId="23" fillId="0" borderId="26" xfId="0" applyFont="1" applyBorder="1" applyAlignment="1">
      <alignment horizontal="left" vertical="center" wrapText="1"/>
    </xf>
    <xf numFmtId="0" fontId="23" fillId="0" borderId="71" xfId="0" applyFont="1" applyBorder="1" applyAlignment="1">
      <alignment horizontal="left" vertical="center" wrapText="1"/>
    </xf>
    <xf numFmtId="0" fontId="23" fillId="0" borderId="77" xfId="0" applyFont="1" applyBorder="1" applyAlignment="1">
      <alignment horizontal="left" vertical="center" wrapText="1"/>
    </xf>
    <xf numFmtId="0" fontId="23" fillId="0" borderId="86" xfId="0" applyFont="1" applyBorder="1" applyAlignment="1">
      <alignment horizontal="left" vertical="center" wrapText="1"/>
    </xf>
    <xf numFmtId="0" fontId="23" fillId="0" borderId="76" xfId="0" applyFont="1" applyBorder="1" applyAlignment="1">
      <alignment horizontal="left" vertical="center" wrapText="1"/>
    </xf>
    <xf numFmtId="0" fontId="23" fillId="0" borderId="206" xfId="0" applyFont="1" applyBorder="1" applyAlignment="1">
      <alignment horizontal="left" vertical="center" wrapText="1"/>
    </xf>
    <xf numFmtId="0" fontId="23" fillId="0" borderId="212" xfId="0" applyFont="1" applyBorder="1" applyAlignment="1">
      <alignment horizontal="left" vertical="center" wrapText="1"/>
    </xf>
    <xf numFmtId="0" fontId="23" fillId="0" borderId="205" xfId="0" applyFont="1" applyBorder="1" applyAlignment="1">
      <alignment horizontal="left" vertical="center" wrapText="1"/>
    </xf>
    <xf numFmtId="0" fontId="19" fillId="0" borderId="5" xfId="0" applyFont="1" applyBorder="1" applyAlignment="1">
      <alignment horizontal="left" vertical="center" wrapText="1"/>
    </xf>
    <xf numFmtId="0" fontId="19" fillId="0" borderId="6" xfId="0" applyFont="1" applyBorder="1" applyAlignment="1">
      <alignment horizontal="left" vertical="center" wrapText="1"/>
    </xf>
    <xf numFmtId="0" fontId="19" fillId="0" borderId="6" xfId="0" applyFont="1" applyBorder="1" applyAlignment="1">
      <alignment horizontal="left" vertical="center" wrapText="1" indent="1" shrinkToFit="1"/>
    </xf>
    <xf numFmtId="0" fontId="19" fillId="0" borderId="7" xfId="0" applyFont="1" applyBorder="1" applyAlignment="1">
      <alignment horizontal="left" vertical="center" wrapText="1" indent="1" shrinkToFit="1"/>
    </xf>
    <xf numFmtId="0" fontId="19" fillId="0" borderId="20" xfId="0" applyFont="1" applyBorder="1" applyAlignment="1">
      <alignment horizontal="left" vertical="center" wrapText="1"/>
    </xf>
    <xf numFmtId="0" fontId="19" fillId="0" borderId="15" xfId="0" applyFont="1" applyBorder="1" applyAlignment="1">
      <alignment horizontal="left" vertical="center" wrapText="1"/>
    </xf>
    <xf numFmtId="0" fontId="19" fillId="0" borderId="15" xfId="0" applyFont="1" applyBorder="1" applyAlignment="1">
      <alignment horizontal="left" vertical="center" wrapText="1" indent="1" shrinkToFit="1"/>
    </xf>
    <xf numFmtId="0" fontId="19" fillId="0" borderId="21" xfId="0" applyFont="1" applyBorder="1" applyAlignment="1">
      <alignment horizontal="left" vertical="center" wrapText="1" indent="1" shrinkToFit="1"/>
    </xf>
    <xf numFmtId="0" fontId="24" fillId="0" borderId="80" xfId="0" applyFont="1" applyBorder="1" applyAlignment="1">
      <alignment horizontal="left" vertical="center"/>
    </xf>
    <xf numFmtId="0" fontId="24" fillId="0" borderId="96" xfId="0" applyFont="1" applyBorder="1" applyAlignment="1">
      <alignment horizontal="left" vertical="center"/>
    </xf>
    <xf numFmtId="0" fontId="24" fillId="0" borderId="96" xfId="0" applyFont="1" applyBorder="1" applyAlignment="1">
      <alignment horizontal="center" vertical="center"/>
    </xf>
    <xf numFmtId="0" fontId="24" fillId="0" borderId="83" xfId="0" applyFont="1" applyBorder="1" applyAlignment="1">
      <alignment horizontal="center" vertical="center"/>
    </xf>
    <xf numFmtId="0" fontId="24" fillId="6" borderId="11" xfId="0" applyFont="1" applyFill="1" applyBorder="1" applyAlignment="1">
      <alignment horizontal="left" vertical="center" wrapText="1"/>
    </xf>
    <xf numFmtId="0" fontId="24" fillId="6" borderId="12" xfId="0" applyFont="1" applyFill="1" applyBorder="1" applyAlignment="1">
      <alignment horizontal="left" vertical="center" wrapText="1"/>
    </xf>
    <xf numFmtId="0" fontId="24" fillId="6" borderId="17" xfId="0" applyFont="1" applyFill="1" applyBorder="1" applyAlignment="1">
      <alignment horizontal="left" vertical="center" wrapText="1"/>
    </xf>
    <xf numFmtId="0" fontId="24" fillId="6" borderId="18" xfId="0" applyFont="1" applyFill="1" applyBorder="1" applyAlignment="1">
      <alignment horizontal="left" vertical="center" wrapText="1"/>
    </xf>
    <xf numFmtId="0" fontId="24" fillId="6" borderId="12" xfId="0" applyFont="1" applyFill="1" applyBorder="1" applyAlignment="1">
      <alignment horizontal="center" vertical="center"/>
    </xf>
    <xf numFmtId="0" fontId="24" fillId="6" borderId="12" xfId="0" applyFont="1" applyFill="1" applyBorder="1" applyAlignment="1">
      <alignment horizontal="center" vertical="center" wrapText="1"/>
    </xf>
    <xf numFmtId="0" fontId="24" fillId="6" borderId="13" xfId="0" applyFont="1" applyFill="1" applyBorder="1" applyAlignment="1">
      <alignment horizontal="center" vertical="center" wrapText="1"/>
    </xf>
    <xf numFmtId="0" fontId="24" fillId="6" borderId="18" xfId="0" applyFont="1" applyFill="1" applyBorder="1" applyAlignment="1">
      <alignment horizontal="center" vertical="center" wrapText="1"/>
    </xf>
    <xf numFmtId="0" fontId="24" fillId="6" borderId="19" xfId="0" applyFont="1" applyFill="1" applyBorder="1" applyAlignment="1">
      <alignment horizontal="center" vertical="center" wrapText="1"/>
    </xf>
    <xf numFmtId="0" fontId="24" fillId="6" borderId="18" xfId="0" applyFont="1" applyFill="1" applyBorder="1" applyAlignment="1">
      <alignment horizontal="center" vertical="center"/>
    </xf>
    <xf numFmtId="0" fontId="24" fillId="6" borderId="190" xfId="0" applyFont="1" applyFill="1" applyBorder="1" applyAlignment="1">
      <alignment horizontal="center" vertical="center"/>
    </xf>
    <xf numFmtId="0" fontId="24" fillId="6" borderId="191" xfId="0" applyFont="1" applyFill="1" applyBorder="1" applyAlignment="1">
      <alignment horizontal="center" vertical="center"/>
    </xf>
    <xf numFmtId="0" fontId="24" fillId="6" borderId="192" xfId="0" applyFont="1" applyFill="1" applyBorder="1" applyAlignment="1">
      <alignment horizontal="center" vertical="center"/>
    </xf>
    <xf numFmtId="0" fontId="24" fillId="6" borderId="193" xfId="0" applyFont="1" applyFill="1" applyBorder="1" applyAlignment="1">
      <alignment horizontal="center" vertical="center"/>
    </xf>
    <xf numFmtId="0" fontId="24" fillId="6" borderId="194" xfId="0" applyFont="1" applyFill="1" applyBorder="1" applyAlignment="1">
      <alignment horizontal="center" vertical="center"/>
    </xf>
    <xf numFmtId="0" fontId="24" fillId="6" borderId="195" xfId="0" applyFont="1" applyFill="1" applyBorder="1" applyAlignment="1">
      <alignment horizontal="center" vertical="center"/>
    </xf>
    <xf numFmtId="0" fontId="24" fillId="0" borderId="93" xfId="0" applyFont="1" applyBorder="1" applyAlignment="1">
      <alignment horizontal="right" vertical="center"/>
    </xf>
    <xf numFmtId="0" fontId="24" fillId="0" borderId="94" xfId="0" applyFont="1" applyBorder="1" applyAlignment="1">
      <alignment horizontal="right" vertical="center"/>
    </xf>
    <xf numFmtId="0" fontId="24" fillId="0" borderId="94" xfId="0" applyFont="1" applyBorder="1" applyAlignment="1">
      <alignment horizontal="center" vertical="center"/>
    </xf>
    <xf numFmtId="0" fontId="20" fillId="6" borderId="94" xfId="0" applyFont="1" applyFill="1" applyBorder="1" applyAlignment="1">
      <alignment horizontal="center" vertical="center"/>
    </xf>
    <xf numFmtId="0" fontId="20" fillId="6" borderId="95" xfId="0" applyFont="1" applyFill="1" applyBorder="1" applyAlignment="1">
      <alignment horizontal="center" vertical="center"/>
    </xf>
    <xf numFmtId="0" fontId="24" fillId="0" borderId="5" xfId="0" applyFont="1" applyBorder="1" applyAlignment="1">
      <alignment horizontal="left" vertical="center"/>
    </xf>
    <xf numFmtId="0" fontId="24" fillId="0" borderId="6" xfId="0" applyFont="1" applyBorder="1" applyAlignment="1">
      <alignment horizontal="left" vertical="center"/>
    </xf>
    <xf numFmtId="0" fontId="24" fillId="0" borderId="7" xfId="0" applyFont="1" applyBorder="1" applyAlignment="1">
      <alignment horizontal="left"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0" fillId="0" borderId="207" xfId="0" applyFont="1" applyBorder="1" applyAlignment="1">
      <alignment horizontal="center" vertical="center"/>
    </xf>
    <xf numFmtId="0" fontId="20" fillId="0" borderId="198" xfId="0" applyFont="1" applyBorder="1" applyAlignment="1">
      <alignment horizontal="center" vertical="center" shrinkToFit="1"/>
    </xf>
    <xf numFmtId="0" fontId="20" fillId="0" borderId="208" xfId="0" applyFont="1" applyBorder="1" applyAlignment="1">
      <alignment horizontal="center" vertical="center" shrinkToFit="1"/>
    </xf>
    <xf numFmtId="0" fontId="20" fillId="0" borderId="209" xfId="0" applyFont="1" applyBorder="1" applyAlignment="1">
      <alignment horizontal="center" vertical="center" shrinkToFit="1"/>
    </xf>
    <xf numFmtId="41" fontId="20" fillId="0" borderId="207" xfId="1" applyFont="1" applyBorder="1" applyAlignment="1">
      <alignment horizontal="center" vertical="center"/>
    </xf>
    <xf numFmtId="9" fontId="20" fillId="0" borderId="198" xfId="0" applyNumberFormat="1" applyFont="1" applyBorder="1" applyAlignment="1">
      <alignment horizontal="center" vertical="center"/>
    </xf>
    <xf numFmtId="9" fontId="20" fillId="0" borderId="208" xfId="0" applyNumberFormat="1" applyFont="1" applyBorder="1" applyAlignment="1">
      <alignment horizontal="center" vertical="center"/>
    </xf>
    <xf numFmtId="9" fontId="20" fillId="0" borderId="209" xfId="0" applyNumberFormat="1" applyFont="1" applyBorder="1" applyAlignment="1">
      <alignment horizontal="center" vertical="center"/>
    </xf>
    <xf numFmtId="0" fontId="20" fillId="0" borderId="198" xfId="0" applyFont="1" applyBorder="1" applyAlignment="1">
      <alignment horizontal="center" vertical="center"/>
    </xf>
    <xf numFmtId="0" fontId="20" fillId="0" borderId="208" xfId="0" applyFont="1" applyBorder="1" applyAlignment="1">
      <alignment horizontal="center" vertical="center"/>
    </xf>
    <xf numFmtId="0" fontId="20" fillId="0" borderId="63" xfId="0" applyFont="1" applyBorder="1" applyAlignment="1">
      <alignment horizontal="center" vertical="center"/>
    </xf>
    <xf numFmtId="0" fontId="20" fillId="0" borderId="64" xfId="0" applyFont="1" applyBorder="1" applyAlignment="1">
      <alignment horizontal="center" vertical="center" shrinkToFit="1"/>
    </xf>
    <xf numFmtId="0" fontId="20" fillId="0" borderId="4" xfId="0" applyFont="1" applyBorder="1" applyAlignment="1">
      <alignment horizontal="center" vertical="center" shrinkToFit="1"/>
    </xf>
    <xf numFmtId="0" fontId="20" fillId="0" borderId="75" xfId="0" applyFont="1" applyBorder="1" applyAlignment="1">
      <alignment horizontal="center" vertical="center" shrinkToFit="1"/>
    </xf>
    <xf numFmtId="41" fontId="20" fillId="6" borderId="64" xfId="1" applyFont="1" applyFill="1" applyBorder="1" applyAlignment="1">
      <alignment horizontal="center" vertical="center" shrinkToFit="1"/>
    </xf>
    <xf numFmtId="41" fontId="20" fillId="6" borderId="4" xfId="1" applyFont="1" applyFill="1" applyBorder="1" applyAlignment="1">
      <alignment horizontal="center" vertical="center" shrinkToFit="1"/>
    </xf>
    <xf numFmtId="41" fontId="20" fillId="6" borderId="75" xfId="1" applyFont="1" applyFill="1" applyBorder="1" applyAlignment="1">
      <alignment horizontal="center" vertical="center" shrinkToFit="1"/>
    </xf>
    <xf numFmtId="0" fontId="7" fillId="0" borderId="64" xfId="0" applyFont="1" applyBorder="1" applyAlignment="1">
      <alignment horizontal="center" vertical="center"/>
    </xf>
    <xf numFmtId="0" fontId="7" fillId="0" borderId="4" xfId="0" applyFont="1" applyBorder="1" applyAlignment="1">
      <alignment horizontal="center" vertical="center"/>
    </xf>
    <xf numFmtId="0" fontId="7" fillId="0" borderId="75" xfId="0" applyFont="1" applyBorder="1" applyAlignment="1">
      <alignment horizontal="center" vertical="center"/>
    </xf>
    <xf numFmtId="0" fontId="20" fillId="0" borderId="64" xfId="0" applyFont="1" applyBorder="1" applyAlignment="1">
      <alignment horizontal="center" vertical="center"/>
    </xf>
    <xf numFmtId="0" fontId="20" fillId="0" borderId="4" xfId="0" applyFont="1" applyBorder="1" applyAlignment="1">
      <alignment horizontal="center" vertical="center"/>
    </xf>
    <xf numFmtId="0" fontId="11" fillId="4" borderId="97" xfId="0" applyFont="1" applyFill="1" applyBorder="1" applyAlignment="1">
      <alignment horizontal="center" vertical="center" wrapText="1"/>
    </xf>
    <xf numFmtId="0" fontId="11" fillId="4" borderId="98" xfId="0" applyFont="1" applyFill="1" applyBorder="1" applyAlignment="1">
      <alignment horizontal="center" vertical="center" wrapText="1"/>
    </xf>
    <xf numFmtId="0" fontId="11" fillId="4" borderId="99" xfId="0" applyFont="1" applyFill="1" applyBorder="1" applyAlignment="1">
      <alignment horizontal="center" vertical="center" wrapText="1"/>
    </xf>
    <xf numFmtId="0" fontId="24" fillId="0" borderId="191" xfId="0" applyFont="1" applyBorder="1" applyAlignment="1">
      <alignment horizontal="center" vertical="center"/>
    </xf>
    <xf numFmtId="0" fontId="24" fillId="0" borderId="192" xfId="0" applyFont="1" applyBorder="1" applyAlignment="1">
      <alignment horizontal="center" vertical="center"/>
    </xf>
    <xf numFmtId="41" fontId="20" fillId="0" borderId="15" xfId="1" applyFont="1" applyBorder="1" applyAlignment="1">
      <alignment horizontal="center" vertical="center"/>
    </xf>
    <xf numFmtId="0" fontId="20" fillId="0" borderId="76" xfId="0" applyFont="1" applyBorder="1" applyAlignment="1">
      <alignment horizontal="center" vertical="center"/>
    </xf>
    <xf numFmtId="0" fontId="20" fillId="0" borderId="0" xfId="0" applyFont="1" applyAlignment="1">
      <alignment horizontal="center" vertical="center"/>
    </xf>
    <xf numFmtId="0" fontId="20" fillId="0" borderId="77" xfId="0" applyFont="1" applyBorder="1" applyAlignment="1">
      <alignment horizontal="center" vertical="center"/>
    </xf>
    <xf numFmtId="0" fontId="20" fillId="0" borderId="21" xfId="0" applyFont="1" applyBorder="1" applyAlignment="1">
      <alignment horizontal="center" vertical="center"/>
    </xf>
    <xf numFmtId="0" fontId="20" fillId="0" borderId="29" xfId="0" applyFont="1" applyBorder="1" applyAlignment="1">
      <alignment horizontal="center" vertical="center"/>
    </xf>
    <xf numFmtId="0" fontId="20" fillId="0" borderId="197" xfId="0" applyFont="1" applyBorder="1" applyAlignment="1">
      <alignment horizontal="center" vertical="center" shrinkToFit="1"/>
    </xf>
    <xf numFmtId="0" fontId="20" fillId="0" borderId="203" xfId="0" applyFont="1" applyBorder="1" applyAlignment="1">
      <alignment horizontal="center" vertical="center" shrinkToFit="1"/>
    </xf>
    <xf numFmtId="0" fontId="20" fillId="0" borderId="204" xfId="0" applyFont="1" applyBorder="1" applyAlignment="1">
      <alignment horizontal="center" vertical="center" shrinkToFit="1"/>
    </xf>
    <xf numFmtId="41" fontId="20" fillId="0" borderId="196" xfId="1" applyFont="1" applyBorder="1" applyAlignment="1">
      <alignment horizontal="center" vertical="center"/>
    </xf>
    <xf numFmtId="0" fontId="20" fillId="0" borderId="205" xfId="0" applyFont="1" applyBorder="1" applyAlignment="1">
      <alignment horizontal="center" vertical="center"/>
    </xf>
    <xf numFmtId="0" fontId="20" fillId="0" borderId="87" xfId="0" applyFont="1" applyBorder="1" applyAlignment="1">
      <alignment horizontal="center" vertical="center"/>
    </xf>
    <xf numFmtId="0" fontId="20" fillId="0" borderId="206" xfId="0" applyFont="1" applyBorder="1" applyAlignment="1">
      <alignment horizontal="center" vertical="center"/>
    </xf>
    <xf numFmtId="0" fontId="20" fillId="0" borderId="197" xfId="0" applyFont="1" applyBorder="1" applyAlignment="1">
      <alignment horizontal="center" vertical="center"/>
    </xf>
    <xf numFmtId="0" fontId="20" fillId="0" borderId="203" xfId="0" applyFont="1" applyBorder="1" applyAlignment="1">
      <alignment horizontal="center" vertical="center"/>
    </xf>
    <xf numFmtId="0" fontId="20" fillId="0" borderId="21" xfId="0" applyFont="1" applyBorder="1" applyAlignment="1">
      <alignment horizontal="center" vertical="center" shrinkToFit="1"/>
    </xf>
    <xf numFmtId="0" fontId="20" fillId="0" borderId="29" xfId="0" applyFont="1" applyBorder="1" applyAlignment="1">
      <alignment horizontal="center" vertical="center" shrinkToFit="1"/>
    </xf>
    <xf numFmtId="0" fontId="20" fillId="0" borderId="20" xfId="0" applyFont="1" applyBorder="1" applyAlignment="1">
      <alignment horizontal="center" vertical="center" shrinkToFit="1"/>
    </xf>
    <xf numFmtId="0" fontId="20" fillId="0" borderId="10" xfId="0" applyFont="1" applyBorder="1" applyAlignment="1">
      <alignment horizontal="center" vertical="center"/>
    </xf>
    <xf numFmtId="0" fontId="20" fillId="0" borderId="91" xfId="0" applyFont="1" applyBorder="1" applyAlignment="1">
      <alignment horizontal="center" vertical="center"/>
    </xf>
    <xf numFmtId="0" fontId="20" fillId="0" borderId="8" xfId="0" applyFont="1" applyBorder="1" applyAlignment="1">
      <alignment horizontal="center" vertical="center"/>
    </xf>
    <xf numFmtId="41" fontId="20" fillId="0" borderId="9" xfId="1" applyFont="1" applyBorder="1" applyAlignment="1">
      <alignment horizontal="center" vertical="center"/>
    </xf>
    <xf numFmtId="41" fontId="20" fillId="0" borderId="10" xfId="1" applyFont="1" applyBorder="1" applyAlignment="1">
      <alignment horizontal="center" vertical="center"/>
    </xf>
    <xf numFmtId="0" fontId="20" fillId="0" borderId="73" xfId="0" applyFont="1" applyBorder="1" applyAlignment="1">
      <alignment horizontal="center" vertical="center" wrapText="1"/>
    </xf>
    <xf numFmtId="0" fontId="20" fillId="0" borderId="6" xfId="0" applyFont="1" applyBorder="1" applyAlignment="1">
      <alignment horizontal="center" vertical="center" textRotation="255"/>
    </xf>
    <xf numFmtId="0" fontId="20" fillId="0" borderId="15" xfId="0" applyFont="1" applyBorder="1" applyAlignment="1">
      <alignment horizontal="center" vertical="center" textRotation="255"/>
    </xf>
    <xf numFmtId="0" fontId="20" fillId="0" borderId="23" xfId="0" applyFont="1" applyBorder="1" applyAlignment="1">
      <alignment horizontal="center" vertical="center" textRotation="255"/>
    </xf>
    <xf numFmtId="0" fontId="20" fillId="0" borderId="86" xfId="0"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center" vertical="center"/>
    </xf>
    <xf numFmtId="0" fontId="20" fillId="0" borderId="15" xfId="0" applyFont="1" applyBorder="1" applyAlignment="1">
      <alignment horizontal="center" vertical="center"/>
    </xf>
    <xf numFmtId="41" fontId="20" fillId="6" borderId="15" xfId="1" applyFont="1" applyFill="1" applyBorder="1" applyAlignment="1">
      <alignment horizontal="center" vertical="center"/>
    </xf>
    <xf numFmtId="41" fontId="20" fillId="0" borderId="21" xfId="1" applyFont="1" applyBorder="1" applyAlignment="1">
      <alignment horizontal="center" vertical="center"/>
    </xf>
    <xf numFmtId="0" fontId="28" fillId="0" borderId="196" xfId="0" applyFont="1" applyBorder="1" applyAlignment="1">
      <alignment horizontal="center" vertical="center"/>
    </xf>
    <xf numFmtId="0" fontId="20" fillId="5" borderId="196" xfId="0" applyFont="1" applyFill="1" applyBorder="1" applyAlignment="1">
      <alignment horizontal="center" vertical="center"/>
    </xf>
    <xf numFmtId="0" fontId="7" fillId="0" borderId="15" xfId="0" applyFont="1" applyBorder="1" applyAlignment="1">
      <alignment horizontal="center" vertical="center" shrinkToFit="1"/>
    </xf>
    <xf numFmtId="0" fontId="7" fillId="0" borderId="15" xfId="0" applyFont="1" applyBorder="1" applyAlignment="1">
      <alignment horizontal="center" vertical="center"/>
    </xf>
    <xf numFmtId="0" fontId="14" fillId="0" borderId="21"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0" xfId="0" applyFont="1" applyBorder="1" applyAlignment="1">
      <alignment horizontal="center" vertical="center" wrapText="1"/>
    </xf>
    <xf numFmtId="0" fontId="20" fillId="0" borderId="199" xfId="0" applyFont="1" applyBorder="1" applyAlignment="1">
      <alignment horizontal="center" vertical="center"/>
    </xf>
    <xf numFmtId="0" fontId="20" fillId="0" borderId="196" xfId="0" applyFont="1" applyBorder="1" applyAlignment="1">
      <alignment horizontal="center" vertical="center"/>
    </xf>
    <xf numFmtId="0" fontId="20" fillId="0" borderId="200" xfId="0" applyFont="1" applyBorder="1" applyAlignment="1">
      <alignment horizontal="center" vertical="center" shrinkToFit="1"/>
    </xf>
    <xf numFmtId="0" fontId="20" fillId="0" borderId="201" xfId="0" applyFont="1" applyBorder="1" applyAlignment="1">
      <alignment horizontal="center" vertical="center" shrinkToFit="1"/>
    </xf>
    <xf numFmtId="0" fontId="20" fillId="0" borderId="202" xfId="0" applyFont="1" applyBorder="1" applyAlignment="1">
      <alignment horizontal="center" vertical="center" shrinkToFit="1"/>
    </xf>
    <xf numFmtId="41" fontId="20" fillId="0" borderId="199" xfId="1" applyFont="1" applyBorder="1" applyAlignment="1">
      <alignment horizontal="center" vertical="center"/>
    </xf>
    <xf numFmtId="0" fontId="20" fillId="5" borderId="200" xfId="0" applyFont="1" applyFill="1" applyBorder="1" applyAlignment="1">
      <alignment horizontal="center" vertical="center"/>
    </xf>
    <xf numFmtId="0" fontId="20" fillId="5" borderId="201" xfId="0" applyFont="1" applyFill="1" applyBorder="1" applyAlignment="1">
      <alignment horizontal="center" vertical="center"/>
    </xf>
    <xf numFmtId="0" fontId="20" fillId="5" borderId="202" xfId="0" applyFont="1" applyFill="1" applyBorder="1" applyAlignment="1">
      <alignment horizontal="center" vertical="center"/>
    </xf>
    <xf numFmtId="0" fontId="20" fillId="5" borderId="21"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0" xfId="0" applyFont="1" applyFill="1" applyBorder="1" applyAlignment="1">
      <alignment horizontal="center" vertical="center"/>
    </xf>
    <xf numFmtId="0" fontId="17" fillId="0" borderId="15" xfId="0" applyFont="1" applyBorder="1" applyAlignment="1">
      <alignment horizontal="center" vertical="center" wrapText="1"/>
    </xf>
    <xf numFmtId="0" fontId="17" fillId="0" borderId="15" xfId="0" applyFont="1" applyBorder="1" applyAlignment="1">
      <alignment horizontal="center" vertical="center"/>
    </xf>
    <xf numFmtId="0" fontId="28" fillId="0" borderId="9" xfId="0" applyFont="1" applyBorder="1" applyAlignment="1">
      <alignment horizontal="center" vertical="center"/>
    </xf>
    <xf numFmtId="0" fontId="20" fillId="5" borderId="9" xfId="0" applyFont="1" applyFill="1" applyBorder="1" applyAlignment="1">
      <alignment horizontal="center" vertical="center"/>
    </xf>
    <xf numFmtId="0" fontId="20" fillId="0" borderId="15" xfId="0" applyFont="1" applyBorder="1" applyAlignment="1">
      <alignment horizontal="center" vertical="center" wrapText="1"/>
    </xf>
    <xf numFmtId="0" fontId="20" fillId="0" borderId="9" xfId="0" applyFont="1" applyBorder="1" applyAlignment="1">
      <alignment horizontal="center" vertical="center"/>
    </xf>
    <xf numFmtId="0" fontId="7" fillId="0" borderId="15" xfId="0" applyFont="1" applyBorder="1" applyAlignment="1">
      <alignment horizontal="center" vertical="center" wrapText="1"/>
    </xf>
    <xf numFmtId="0" fontId="28" fillId="0" borderId="15" xfId="0" applyFont="1" applyBorder="1" applyAlignment="1">
      <alignment horizontal="center" vertical="center" shrinkToFit="1"/>
    </xf>
    <xf numFmtId="0" fontId="20" fillId="5" borderId="15" xfId="0" applyFont="1" applyFill="1" applyBorder="1" applyAlignment="1">
      <alignment horizontal="center" vertical="center"/>
    </xf>
    <xf numFmtId="0" fontId="14" fillId="0" borderId="15" xfId="0" applyFont="1" applyBorder="1" applyAlignment="1">
      <alignment horizontal="center" vertical="center" shrinkToFit="1"/>
    </xf>
    <xf numFmtId="9" fontId="14" fillId="0" borderId="10" xfId="0" applyNumberFormat="1" applyFont="1" applyBorder="1" applyAlignment="1">
      <alignment horizontal="center" vertical="center" wrapText="1"/>
    </xf>
    <xf numFmtId="9" fontId="14" fillId="0" borderId="91" xfId="0" applyNumberFormat="1" applyFont="1" applyBorder="1" applyAlignment="1">
      <alignment horizontal="center" vertical="center" wrapText="1"/>
    </xf>
    <xf numFmtId="0" fontId="14" fillId="0" borderId="8" xfId="0" applyFont="1" applyBorder="1" applyAlignment="1">
      <alignment horizontal="center" vertical="center" wrapText="1"/>
    </xf>
    <xf numFmtId="0" fontId="14" fillId="0" borderId="76" xfId="0" applyFont="1" applyBorder="1" applyAlignment="1">
      <alignment horizontal="center" vertical="center" wrapText="1"/>
    </xf>
    <xf numFmtId="0" fontId="14" fillId="0" borderId="0" xfId="0" applyFont="1" applyAlignment="1">
      <alignment horizontal="center" vertical="center" wrapText="1"/>
    </xf>
    <xf numFmtId="0" fontId="14" fillId="0" borderId="77" xfId="0" applyFont="1" applyBorder="1" applyAlignment="1">
      <alignment horizontal="center" vertical="center" wrapText="1"/>
    </xf>
    <xf numFmtId="0" fontId="20" fillId="0" borderId="15" xfId="0" applyFont="1" applyBorder="1" applyAlignment="1">
      <alignment horizontal="left" vertical="center" shrinkToFit="1"/>
    </xf>
    <xf numFmtId="0" fontId="20" fillId="0" borderId="15" xfId="0" applyFont="1" applyBorder="1" applyAlignment="1">
      <alignment horizontal="center" vertical="center" shrinkToFit="1"/>
    </xf>
    <xf numFmtId="9" fontId="20" fillId="0" borderId="15" xfId="0" applyNumberFormat="1" applyFont="1" applyBorder="1" applyAlignment="1">
      <alignment horizontal="center" vertical="center"/>
    </xf>
    <xf numFmtId="41" fontId="20" fillId="7" borderId="15" xfId="1" applyFont="1" applyFill="1" applyBorder="1" applyAlignment="1">
      <alignment horizontal="center" vertical="center"/>
    </xf>
    <xf numFmtId="0" fontId="20" fillId="0" borderId="10" xfId="0" applyFont="1" applyBorder="1" applyAlignment="1">
      <alignment horizontal="center" vertical="center" wrapText="1"/>
    </xf>
    <xf numFmtId="0" fontId="20" fillId="0" borderId="91"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76" xfId="0" applyFont="1" applyBorder="1" applyAlignment="1">
      <alignment horizontal="center" vertical="center" wrapText="1"/>
    </xf>
    <xf numFmtId="0" fontId="20" fillId="0" borderId="0" xfId="0" applyFont="1" applyAlignment="1">
      <alignment horizontal="center" vertical="center" wrapText="1"/>
    </xf>
    <xf numFmtId="0" fontId="20" fillId="0" borderId="77"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2" xfId="0" applyFont="1" applyBorder="1" applyAlignment="1">
      <alignment horizontal="center" vertical="center" wrapText="1"/>
    </xf>
    <xf numFmtId="0" fontId="20" fillId="0" borderId="5" xfId="0" applyFont="1" applyBorder="1" applyAlignment="1">
      <alignment horizontal="center" vertical="center" wrapText="1"/>
    </xf>
    <xf numFmtId="0" fontId="28" fillId="0" borderId="15" xfId="0" applyFont="1" applyBorder="1" applyAlignment="1">
      <alignment horizontal="center" vertical="center"/>
    </xf>
    <xf numFmtId="41" fontId="20" fillId="5" borderId="15" xfId="1" applyFont="1" applyFill="1" applyBorder="1" applyAlignment="1">
      <alignment horizontal="center" vertical="center"/>
    </xf>
    <xf numFmtId="41" fontId="20" fillId="5" borderId="21" xfId="1" applyFont="1" applyFill="1" applyBorder="1" applyAlignment="1">
      <alignment horizontal="center" vertical="center"/>
    </xf>
    <xf numFmtId="41" fontId="20" fillId="0" borderId="15" xfId="1" applyFont="1" applyFill="1" applyBorder="1" applyAlignment="1">
      <alignment horizontal="center" vertical="center"/>
    </xf>
    <xf numFmtId="41" fontId="20" fillId="0" borderId="21" xfId="1" applyFont="1" applyFill="1" applyBorder="1" applyAlignment="1">
      <alignment horizontal="center" vertical="center"/>
    </xf>
    <xf numFmtId="0" fontId="20" fillId="5" borderId="15" xfId="0" applyFont="1" applyFill="1" applyBorder="1" applyAlignment="1">
      <alignment horizontal="center" vertical="center" wrapText="1"/>
    </xf>
    <xf numFmtId="41" fontId="20" fillId="0" borderId="6" xfId="1" applyFont="1" applyBorder="1" applyAlignment="1">
      <alignment horizontal="center" vertical="center"/>
    </xf>
    <xf numFmtId="41" fontId="20" fillId="0" borderId="7" xfId="1" applyFont="1" applyBorder="1" applyAlignment="1">
      <alignment horizontal="center" vertical="center"/>
    </xf>
    <xf numFmtId="0" fontId="20" fillId="0" borderId="196" xfId="0" applyFont="1" applyBorder="1" applyAlignment="1">
      <alignment horizontal="center" vertical="center" wrapText="1"/>
    </xf>
    <xf numFmtId="41" fontId="20" fillId="0" borderId="197" xfId="1" applyFont="1" applyBorder="1" applyAlignment="1">
      <alignment horizontal="center" vertical="center"/>
    </xf>
    <xf numFmtId="0" fontId="20" fillId="0" borderId="9" xfId="0" applyFont="1" applyBorder="1" applyAlignment="1">
      <alignment horizontal="center" vertical="center" textRotation="255"/>
    </xf>
    <xf numFmtId="0" fontId="20" fillId="0" borderId="6" xfId="0" applyFont="1" applyBorder="1" applyAlignment="1">
      <alignment horizontal="center" vertical="center"/>
    </xf>
    <xf numFmtId="9" fontId="20" fillId="0" borderId="6" xfId="0" applyNumberFormat="1" applyFont="1" applyBorder="1" applyAlignment="1">
      <alignment horizontal="center" vertical="center"/>
    </xf>
    <xf numFmtId="9" fontId="7" fillId="0" borderId="15" xfId="0" applyNumberFormat="1" applyFont="1" applyBorder="1" applyAlignment="1">
      <alignment horizontal="center" vertical="center"/>
    </xf>
    <xf numFmtId="0" fontId="23" fillId="0" borderId="15" xfId="0" applyFont="1" applyBorder="1" applyAlignment="1">
      <alignment horizontal="center" vertical="center" wrapText="1"/>
    </xf>
    <xf numFmtId="41" fontId="20" fillId="0" borderId="15" xfId="1" applyFont="1" applyBorder="1" applyAlignment="1">
      <alignment horizontal="center" vertical="center" shrinkToFit="1"/>
    </xf>
    <xf numFmtId="0" fontId="20" fillId="0" borderId="86" xfId="0" applyFont="1" applyBorder="1" applyAlignment="1">
      <alignment horizontal="center" vertical="center" shrinkToFit="1"/>
    </xf>
    <xf numFmtId="0" fontId="20" fillId="0" borderId="199" xfId="0" applyFont="1" applyBorder="1" applyAlignment="1">
      <alignment horizontal="center" vertical="center" wrapText="1"/>
    </xf>
    <xf numFmtId="0" fontId="20" fillId="0" borderId="199" xfId="0" applyFont="1" applyBorder="1" applyAlignment="1">
      <alignment horizontal="center" vertical="center" shrinkToFit="1"/>
    </xf>
    <xf numFmtId="41" fontId="20" fillId="6" borderId="199" xfId="1" applyFont="1" applyFill="1" applyBorder="1" applyAlignment="1">
      <alignment horizontal="center" vertical="center"/>
    </xf>
    <xf numFmtId="41" fontId="20" fillId="0" borderId="200" xfId="1" applyFont="1" applyBorder="1" applyAlignment="1">
      <alignment horizontal="center" vertical="center"/>
    </xf>
    <xf numFmtId="0" fontId="20" fillId="0" borderId="196" xfId="0" applyFont="1" applyBorder="1" applyAlignment="1">
      <alignment horizontal="left" vertical="center" wrapText="1"/>
    </xf>
    <xf numFmtId="41" fontId="20" fillId="6" borderId="196" xfId="1" applyFont="1" applyFill="1" applyBorder="1" applyAlignment="1">
      <alignment horizontal="center" vertical="center" shrinkToFit="1"/>
    </xf>
    <xf numFmtId="0" fontId="20" fillId="0" borderId="196" xfId="0" applyFont="1" applyBorder="1" applyAlignment="1">
      <alignment horizontal="center" vertical="center" shrinkToFit="1"/>
    </xf>
    <xf numFmtId="0" fontId="20" fillId="6" borderId="196" xfId="0" applyFont="1" applyFill="1" applyBorder="1" applyAlignment="1">
      <alignment horizontal="center" vertical="center"/>
    </xf>
    <xf numFmtId="0" fontId="20" fillId="6" borderId="197" xfId="0" applyFont="1" applyFill="1" applyBorder="1" applyAlignment="1">
      <alignment horizontal="center" vertical="center"/>
    </xf>
    <xf numFmtId="41" fontId="20" fillId="0" borderId="21" xfId="1" applyFont="1" applyBorder="1" applyAlignment="1">
      <alignment horizontal="center" vertical="center" shrinkToFit="1"/>
    </xf>
    <xf numFmtId="0" fontId="20" fillId="0" borderId="15" xfId="0" applyFont="1" applyBorder="1" applyAlignment="1">
      <alignment horizontal="left" vertical="center" wrapText="1"/>
    </xf>
    <xf numFmtId="0" fontId="20" fillId="0" borderId="88" xfId="0" applyFont="1" applyBorder="1" applyAlignment="1">
      <alignment horizontal="center" vertical="center"/>
    </xf>
    <xf numFmtId="0" fontId="20" fillId="0" borderId="89" xfId="0" applyFont="1" applyBorder="1" applyAlignment="1">
      <alignment horizontal="center" vertical="center"/>
    </xf>
    <xf numFmtId="0" fontId="20" fillId="0" borderId="89" xfId="0" applyFont="1" applyBorder="1" applyAlignment="1">
      <alignment horizontal="center" vertical="center" shrinkToFit="1"/>
    </xf>
    <xf numFmtId="0" fontId="20" fillId="0" borderId="90" xfId="0" applyFont="1" applyBorder="1" applyAlignment="1">
      <alignment horizontal="center" vertical="center" shrinkToFit="1"/>
    </xf>
    <xf numFmtId="0" fontId="20" fillId="0" borderId="25" xfId="0" applyFont="1" applyBorder="1" applyAlignment="1">
      <alignment horizontal="center" vertical="center" textRotation="255" shrinkToFit="1"/>
    </xf>
    <xf numFmtId="0" fontId="20" fillId="0" borderId="20" xfId="0" applyFont="1" applyBorder="1" applyAlignment="1">
      <alignment horizontal="center" vertical="center" textRotation="255" shrinkToFit="1"/>
    </xf>
    <xf numFmtId="0" fontId="20" fillId="0" borderId="22" xfId="0" applyFont="1" applyBorder="1" applyAlignment="1">
      <alignment horizontal="center" vertical="center" textRotation="255" shrinkToFit="1"/>
    </xf>
    <xf numFmtId="0" fontId="20" fillId="0" borderId="27" xfId="0" applyFont="1" applyBorder="1" applyAlignment="1">
      <alignment horizontal="center" vertical="center" textRotation="255" shrinkToFit="1"/>
    </xf>
    <xf numFmtId="0" fontId="20" fillId="0" borderId="15" xfId="0" applyFont="1" applyBorder="1" applyAlignment="1">
      <alignment horizontal="center" vertical="center" textRotation="255" shrinkToFit="1"/>
    </xf>
    <xf numFmtId="0" fontId="20" fillId="0" borderId="196" xfId="0" applyFont="1" applyBorder="1" applyAlignment="1">
      <alignment horizontal="center" vertical="center" textRotation="255" shrinkToFit="1"/>
    </xf>
    <xf numFmtId="0" fontId="20" fillId="0" borderId="27" xfId="0" applyFont="1" applyBorder="1" applyAlignment="1">
      <alignment horizontal="center"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20" fillId="0" borderId="9" xfId="0" applyFont="1" applyBorder="1" applyAlignment="1">
      <alignment horizontal="center" vertical="center" shrinkToFit="1"/>
    </xf>
    <xf numFmtId="41" fontId="20" fillId="6" borderId="9" xfId="1" applyFont="1" applyFill="1" applyBorder="1" applyAlignment="1">
      <alignment horizontal="center" vertical="center" shrinkToFit="1"/>
    </xf>
    <xf numFmtId="41" fontId="20" fillId="0" borderId="9" xfId="1" applyFont="1" applyBorder="1" applyAlignment="1">
      <alignment horizontal="center" vertical="center" shrinkToFit="1"/>
    </xf>
    <xf numFmtId="41" fontId="20" fillId="0" borderId="10" xfId="1" applyFont="1" applyBorder="1" applyAlignment="1">
      <alignment horizontal="center" vertical="center" shrinkToFit="1"/>
    </xf>
    <xf numFmtId="0" fontId="27" fillId="0" borderId="23" xfId="0" applyFont="1" applyBorder="1" applyAlignment="1">
      <alignment horizontal="center" vertical="center"/>
    </xf>
    <xf numFmtId="0" fontId="7" fillId="0" borderId="23" xfId="0" applyFont="1" applyBorder="1" applyAlignment="1">
      <alignment horizontal="center" vertical="center" shrinkToFit="1"/>
    </xf>
    <xf numFmtId="41" fontId="7" fillId="6" borderId="23" xfId="1" applyFont="1" applyFill="1" applyBorder="1" applyAlignment="1">
      <alignment horizontal="center" vertical="center" shrinkToFit="1"/>
    </xf>
    <xf numFmtId="41" fontId="7" fillId="0" borderId="23" xfId="1" applyFont="1" applyBorder="1" applyAlignment="1">
      <alignment horizontal="center" vertical="center" shrinkToFit="1"/>
    </xf>
    <xf numFmtId="41" fontId="7" fillId="0" borderId="24" xfId="1" applyFont="1" applyBorder="1" applyAlignment="1">
      <alignment horizontal="center" vertical="center" shrinkToFit="1"/>
    </xf>
    <xf numFmtId="0" fontId="24" fillId="0" borderId="15" xfId="0" applyFont="1" applyBorder="1" applyAlignment="1">
      <alignment horizontal="center" vertical="center"/>
    </xf>
    <xf numFmtId="41" fontId="20" fillId="6" borderId="15" xfId="1" applyFont="1" applyFill="1" applyBorder="1" applyAlignment="1">
      <alignment horizontal="center" vertical="center" shrinkToFit="1"/>
    </xf>
    <xf numFmtId="0" fontId="24" fillId="0" borderId="15" xfId="0" applyFont="1" applyBorder="1" applyAlignment="1">
      <alignment horizontal="center" vertical="center" wrapText="1"/>
    </xf>
    <xf numFmtId="0" fontId="26" fillId="0" borderId="15" xfId="0" applyFont="1" applyBorder="1" applyAlignment="1">
      <alignment horizontal="left" vertical="center"/>
    </xf>
    <xf numFmtId="0" fontId="20" fillId="5" borderId="15" xfId="0" applyFont="1" applyFill="1" applyBorder="1" applyAlignment="1">
      <alignment horizontal="center" vertical="center" shrinkToFit="1"/>
    </xf>
    <xf numFmtId="41" fontId="20" fillId="5" borderId="15" xfId="1" applyFont="1" applyFill="1" applyBorder="1" applyAlignment="1">
      <alignment horizontal="center" vertical="center" shrinkToFit="1"/>
    </xf>
    <xf numFmtId="41" fontId="20" fillId="5" borderId="21" xfId="1" applyFont="1" applyFill="1" applyBorder="1" applyAlignment="1">
      <alignment horizontal="center" vertical="center" shrinkToFit="1"/>
    </xf>
    <xf numFmtId="0" fontId="24" fillId="0" borderId="15" xfId="0" applyFont="1" applyBorder="1" applyAlignment="1">
      <alignment horizontal="left" vertical="center"/>
    </xf>
    <xf numFmtId="0" fontId="19" fillId="0" borderId="15" xfId="0" applyFont="1" applyBorder="1" applyAlignment="1">
      <alignment horizontal="center" vertical="center"/>
    </xf>
    <xf numFmtId="0" fontId="26" fillId="0" borderId="15" xfId="0" applyFont="1" applyBorder="1" applyAlignment="1">
      <alignment horizontal="left" vertical="center" shrinkToFit="1"/>
    </xf>
    <xf numFmtId="0" fontId="25" fillId="0" borderId="15" xfId="0" applyFont="1" applyBorder="1" applyAlignment="1">
      <alignment horizontal="center" vertical="center"/>
    </xf>
    <xf numFmtId="0" fontId="24" fillId="5" borderId="15" xfId="0" applyFont="1" applyFill="1" applyBorder="1" applyAlignment="1">
      <alignment horizontal="center" vertical="center" shrinkToFit="1"/>
    </xf>
    <xf numFmtId="0" fontId="24" fillId="0" borderId="25" xfId="0" applyFont="1" applyBorder="1" applyAlignment="1">
      <alignment horizontal="center" vertical="center" textRotation="255"/>
    </xf>
    <xf numFmtId="0" fontId="24" fillId="0" borderId="27" xfId="0" applyFont="1" applyBorder="1" applyAlignment="1">
      <alignment horizontal="center" vertical="center" textRotation="255"/>
    </xf>
    <xf numFmtId="0" fontId="24" fillId="0" borderId="20" xfId="0" applyFont="1" applyBorder="1" applyAlignment="1">
      <alignment horizontal="center" vertical="center" textRotation="255"/>
    </xf>
    <xf numFmtId="0" fontId="24" fillId="0" borderId="15" xfId="0" applyFont="1" applyBorder="1" applyAlignment="1">
      <alignment horizontal="center" vertical="center" textRotation="255"/>
    </xf>
    <xf numFmtId="0" fontId="24" fillId="0" borderId="8" xfId="0" applyFont="1" applyBorder="1" applyAlignment="1">
      <alignment horizontal="center" vertical="center" textRotation="255"/>
    </xf>
    <xf numFmtId="0" fontId="24" fillId="0" borderId="9" xfId="0" applyFont="1" applyBorder="1" applyAlignment="1">
      <alignment horizontal="center" vertical="center" textRotation="255"/>
    </xf>
    <xf numFmtId="0" fontId="24" fillId="0" borderId="22" xfId="0" applyFont="1" applyBorder="1" applyAlignment="1">
      <alignment horizontal="center" vertical="center" textRotation="255"/>
    </xf>
    <xf numFmtId="0" fontId="24" fillId="0" borderId="23" xfId="0" applyFont="1" applyBorder="1" applyAlignment="1">
      <alignment horizontal="center" vertical="center" textRotation="255"/>
    </xf>
    <xf numFmtId="0" fontId="24" fillId="0" borderId="27" xfId="0" applyFont="1" applyBorder="1" applyAlignment="1">
      <alignment horizontal="center" vertical="center"/>
    </xf>
    <xf numFmtId="0" fontId="20" fillId="0" borderId="27" xfId="0" applyFont="1" applyBorder="1" applyAlignment="1">
      <alignment horizontal="center" vertical="center" shrinkToFit="1"/>
    </xf>
    <xf numFmtId="41" fontId="20" fillId="6" borderId="27" xfId="1" applyFont="1" applyFill="1" applyBorder="1" applyAlignment="1">
      <alignment horizontal="center" vertical="center" shrinkToFit="1"/>
    </xf>
    <xf numFmtId="0" fontId="19" fillId="0" borderId="27" xfId="0" applyFont="1" applyBorder="1" applyAlignment="1">
      <alignment horizontal="center" vertical="center" wrapText="1" shrinkToFit="1"/>
    </xf>
    <xf numFmtId="0" fontId="14" fillId="0" borderId="15" xfId="0" applyFont="1" applyBorder="1" applyAlignment="1">
      <alignment horizontal="center" vertical="center" wrapText="1"/>
    </xf>
    <xf numFmtId="0" fontId="14" fillId="0" borderId="15" xfId="0" applyFont="1" applyBorder="1" applyAlignment="1">
      <alignment horizontal="center" vertical="center"/>
    </xf>
    <xf numFmtId="41" fontId="20" fillId="0" borderId="27" xfId="1" applyFont="1" applyBorder="1" applyAlignment="1">
      <alignment horizontal="center" vertical="center" shrinkToFit="1"/>
    </xf>
    <xf numFmtId="41" fontId="20" fillId="0" borderId="28" xfId="1" applyFont="1" applyBorder="1" applyAlignment="1">
      <alignment horizontal="center" vertical="center" shrinkToFit="1"/>
    </xf>
    <xf numFmtId="0" fontId="21" fillId="0" borderId="15" xfId="0" applyFont="1" applyBorder="1" applyAlignment="1">
      <alignment horizontal="center" vertical="center" wrapText="1"/>
    </xf>
    <xf numFmtId="0" fontId="22" fillId="0" borderId="15" xfId="0" applyFont="1" applyBorder="1" applyAlignment="1">
      <alignment horizontal="center" vertical="center"/>
    </xf>
    <xf numFmtId="0" fontId="20" fillId="0" borderId="23" xfId="0" applyFont="1" applyBorder="1" applyAlignment="1">
      <alignment horizontal="center" vertical="center" wrapText="1"/>
    </xf>
    <xf numFmtId="0" fontId="22" fillId="0" borderId="23" xfId="0" applyFont="1" applyBorder="1" applyAlignment="1">
      <alignment horizontal="center" vertical="center"/>
    </xf>
    <xf numFmtId="0" fontId="20" fillId="5" borderId="23" xfId="0" applyFont="1" applyFill="1" applyBorder="1" applyAlignment="1">
      <alignment horizontal="center" vertical="center" shrinkToFit="1"/>
    </xf>
    <xf numFmtId="41" fontId="20" fillId="0" borderId="23" xfId="1" applyFont="1" applyFill="1" applyBorder="1" applyAlignment="1">
      <alignment horizontal="center" vertical="center" shrinkToFit="1"/>
    </xf>
    <xf numFmtId="41" fontId="20" fillId="0" borderId="23" xfId="1" applyFont="1" applyBorder="1" applyAlignment="1">
      <alignment horizontal="center" vertical="center" shrinkToFit="1"/>
    </xf>
    <xf numFmtId="41" fontId="20" fillId="0" borderId="24" xfId="1" applyFont="1" applyBorder="1" applyAlignment="1">
      <alignment horizontal="center" vertical="center" shrinkToFit="1"/>
    </xf>
    <xf numFmtId="0" fontId="19" fillId="0" borderId="15" xfId="0" applyFont="1" applyBorder="1" applyAlignment="1">
      <alignment horizontal="center" vertical="center" wrapText="1"/>
    </xf>
    <xf numFmtId="0" fontId="20" fillId="0" borderId="15" xfId="0" applyFont="1" applyBorder="1" applyAlignment="1">
      <alignment horizontal="center" vertical="center" wrapText="1" shrinkToFit="1"/>
    </xf>
    <xf numFmtId="0" fontId="20" fillId="0" borderId="25" xfId="0" applyFont="1" applyBorder="1" applyAlignment="1">
      <alignment horizontal="center" vertical="center" textRotation="255" wrapText="1"/>
    </xf>
    <xf numFmtId="0" fontId="20" fillId="0" borderId="27" xfId="0" applyFont="1" applyBorder="1" applyAlignment="1">
      <alignment horizontal="center" vertical="center" textRotation="255" wrapText="1"/>
    </xf>
    <xf numFmtId="0" fontId="20" fillId="0" borderId="20" xfId="0" applyFont="1" applyBorder="1" applyAlignment="1">
      <alignment horizontal="center" vertical="center" textRotation="255" wrapText="1"/>
    </xf>
    <xf numFmtId="0" fontId="20" fillId="0" borderId="15" xfId="0" applyFont="1" applyBorder="1" applyAlignment="1">
      <alignment horizontal="center" vertical="center" textRotation="255" wrapText="1"/>
    </xf>
    <xf numFmtId="0" fontId="20" fillId="0" borderId="22" xfId="0" applyFont="1" applyBorder="1" applyAlignment="1">
      <alignment horizontal="center" vertical="center" textRotation="255" wrapText="1"/>
    </xf>
    <xf numFmtId="0" fontId="20" fillId="0" borderId="23" xfId="0" applyFont="1" applyBorder="1" applyAlignment="1">
      <alignment horizontal="center" vertical="center" textRotation="255" wrapText="1"/>
    </xf>
    <xf numFmtId="0" fontId="20" fillId="0" borderId="27" xfId="0" applyFont="1" applyBorder="1" applyAlignment="1">
      <alignment horizontal="center" vertical="center"/>
    </xf>
    <xf numFmtId="0" fontId="23" fillId="0" borderId="27"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0" xfId="0" applyFont="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6" fillId="0" borderId="0" xfId="0" applyFont="1" applyAlignment="1">
      <alignment horizontal="left" vertical="center" wrapText="1"/>
    </xf>
    <xf numFmtId="0" fontId="6" fillId="0" borderId="0" xfId="0" applyFont="1" applyAlignment="1">
      <alignment horizontal="left" vertical="center" shrinkToFit="1"/>
    </xf>
    <xf numFmtId="0" fontId="6" fillId="0" borderId="87" xfId="0" applyFont="1" applyBorder="1" applyAlignment="1">
      <alignment horizontal="left" vertical="center" shrinkToFit="1"/>
    </xf>
    <xf numFmtId="0" fontId="20" fillId="0" borderId="0" xfId="0" applyFont="1" applyAlignment="1">
      <alignment horizontal="left" vertical="center" wrapText="1"/>
    </xf>
    <xf numFmtId="0" fontId="7" fillId="0" borderId="0" xfId="0" quotePrefix="1" applyFont="1" applyAlignment="1">
      <alignment horizontal="left" vertical="center" wrapText="1"/>
    </xf>
    <xf numFmtId="0" fontId="7" fillId="0" borderId="0" xfId="0" applyFont="1" applyAlignment="1">
      <alignment horizontal="left" vertical="center" wrapText="1"/>
    </xf>
    <xf numFmtId="0" fontId="20" fillId="0" borderId="0" xfId="0" quotePrefix="1" applyFont="1" applyAlignment="1">
      <alignment horizontal="left" vertical="center" wrapText="1"/>
    </xf>
    <xf numFmtId="41" fontId="19" fillId="6" borderId="23" xfId="1" applyFont="1" applyFill="1" applyBorder="1" applyAlignment="1">
      <alignment horizontal="center" vertical="center" shrinkToFit="1"/>
    </xf>
    <xf numFmtId="41" fontId="20" fillId="6" borderId="63" xfId="1" applyFont="1" applyFill="1" applyBorder="1" applyAlignment="1">
      <alignment horizontal="center" vertical="center" shrinkToFit="1"/>
    </xf>
    <xf numFmtId="0" fontId="20" fillId="0" borderId="76" xfId="0" applyFont="1" applyBorder="1" applyAlignment="1">
      <alignment horizontal="center" vertical="center" shrinkToFit="1"/>
    </xf>
    <xf numFmtId="0" fontId="20" fillId="0" borderId="77" xfId="0" applyFont="1" applyBorder="1" applyAlignment="1">
      <alignment horizontal="center" vertical="center" shrinkToFit="1"/>
    </xf>
    <xf numFmtId="0" fontId="7" fillId="0" borderId="71" xfId="0" applyFont="1" applyBorder="1" applyAlignment="1">
      <alignment horizontal="center" vertical="center" shrinkToFit="1"/>
    </xf>
    <xf numFmtId="0" fontId="7" fillId="0" borderId="73" xfId="0" applyFont="1" applyBorder="1" applyAlignment="1">
      <alignment horizontal="center" vertical="center" shrinkToFit="1"/>
    </xf>
    <xf numFmtId="0" fontId="7" fillId="0" borderId="72" xfId="0" applyFont="1" applyBorder="1" applyAlignment="1">
      <alignment horizontal="center" vertical="center" shrinkToFit="1"/>
    </xf>
    <xf numFmtId="41" fontId="19" fillId="6" borderId="27" xfId="1" applyFont="1" applyFill="1" applyBorder="1" applyAlignment="1">
      <alignment horizontal="center" vertical="center" shrinkToFit="1"/>
    </xf>
    <xf numFmtId="41" fontId="20" fillId="6" borderId="28" xfId="1" applyFont="1" applyFill="1" applyBorder="1" applyAlignment="1">
      <alignment horizontal="center" vertical="center" shrinkToFit="1"/>
    </xf>
    <xf numFmtId="0" fontId="7" fillId="0" borderId="24" xfId="0" applyFont="1" applyBorder="1" applyAlignment="1">
      <alignment horizontal="center" vertical="center" shrinkToFit="1"/>
    </xf>
    <xf numFmtId="0" fontId="7" fillId="0" borderId="62" xfId="0" applyFont="1" applyBorder="1" applyAlignment="1">
      <alignment horizontal="center" vertical="center" shrinkToFit="1"/>
    </xf>
    <xf numFmtId="0" fontId="7" fillId="0" borderId="22" xfId="0" applyFont="1" applyBorder="1" applyAlignment="1">
      <alignment horizontal="center" vertical="center" shrinkToFit="1"/>
    </xf>
    <xf numFmtId="41" fontId="19" fillId="6" borderId="217" xfId="1" applyFont="1" applyFill="1" applyBorder="1" applyAlignment="1">
      <alignment horizontal="center" vertical="center" shrinkToFit="1"/>
    </xf>
    <xf numFmtId="41" fontId="19" fillId="6" borderId="63" xfId="1" applyFont="1" applyFill="1" applyBorder="1" applyAlignment="1">
      <alignment horizontal="center" vertical="center" shrinkToFit="1"/>
    </xf>
    <xf numFmtId="41" fontId="19" fillId="6" borderId="96" xfId="1" applyFont="1" applyFill="1" applyBorder="1" applyAlignment="1">
      <alignment horizontal="center" vertical="center" shrinkToFit="1"/>
    </xf>
    <xf numFmtId="41" fontId="20" fillId="6" borderId="219" xfId="1" applyFont="1" applyFill="1" applyBorder="1" applyAlignment="1">
      <alignment horizontal="center" vertical="center" shrinkToFit="1"/>
    </xf>
    <xf numFmtId="41" fontId="20" fillId="6" borderId="81" xfId="1" applyFont="1" applyFill="1" applyBorder="1" applyAlignment="1">
      <alignment horizontal="center" vertical="center" shrinkToFit="1"/>
    </xf>
    <xf numFmtId="0" fontId="7" fillId="0" borderId="83" xfId="0" applyFont="1" applyBorder="1" applyAlignment="1">
      <alignment horizontal="center" vertical="center" shrinkToFit="1"/>
    </xf>
    <xf numFmtId="0" fontId="7" fillId="0" borderId="84" xfId="0" applyFont="1" applyBorder="1" applyAlignment="1">
      <alignment horizontal="center" vertical="center" shrinkToFit="1"/>
    </xf>
    <xf numFmtId="0" fontId="7" fillId="0" borderId="80" xfId="0" applyFont="1" applyBorder="1" applyAlignment="1">
      <alignment horizontal="center" vertical="center" shrinkToFit="1"/>
    </xf>
    <xf numFmtId="0" fontId="20" fillId="0" borderId="78" xfId="0" applyFont="1" applyBorder="1" applyAlignment="1">
      <alignment horizontal="center" vertical="center" shrinkToFit="1"/>
    </xf>
    <xf numFmtId="0" fontId="20" fillId="0" borderId="79" xfId="0" applyFont="1" applyBorder="1" applyAlignment="1">
      <alignment horizontal="center" vertical="center" shrinkToFit="1"/>
    </xf>
    <xf numFmtId="0" fontId="20" fillId="0" borderId="81" xfId="0" applyFont="1" applyBorder="1" applyAlignment="1">
      <alignment horizontal="center" vertical="center" shrinkToFit="1"/>
    </xf>
    <xf numFmtId="0" fontId="20" fillId="0" borderId="82" xfId="0" applyFont="1" applyBorder="1" applyAlignment="1">
      <alignment horizontal="center" vertical="center" shrinkToFit="1"/>
    </xf>
    <xf numFmtId="41" fontId="19" fillId="6" borderId="216" xfId="1" applyFont="1" applyFill="1" applyBorder="1" applyAlignment="1">
      <alignment horizontal="center" vertical="center" shrinkToFit="1"/>
    </xf>
    <xf numFmtId="0" fontId="8" fillId="0" borderId="63" xfId="0" applyFont="1" applyBorder="1" applyAlignment="1">
      <alignment horizontal="center" vertical="center" wrapText="1"/>
    </xf>
    <xf numFmtId="0" fontId="8" fillId="0" borderId="64" xfId="0" applyFont="1" applyBorder="1" applyAlignment="1">
      <alignment horizontal="center" vertical="center" wrapText="1"/>
    </xf>
    <xf numFmtId="0" fontId="20" fillId="0" borderId="65"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67" xfId="0" applyFont="1" applyBorder="1" applyAlignment="1">
      <alignment horizontal="center" vertical="center" wrapText="1"/>
    </xf>
    <xf numFmtId="0" fontId="20" fillId="0" borderId="68" xfId="0" applyFont="1" applyBorder="1" applyAlignment="1">
      <alignment horizontal="center" vertical="center" wrapText="1"/>
    </xf>
    <xf numFmtId="0" fontId="20" fillId="0" borderId="69" xfId="0" applyFont="1" applyBorder="1" applyAlignment="1">
      <alignment horizontal="center" vertical="center" wrapText="1"/>
    </xf>
    <xf numFmtId="0" fontId="20" fillId="0" borderId="70"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66" xfId="0" applyFont="1" applyBorder="1" applyAlignment="1">
      <alignment horizontal="center" vertical="center"/>
    </xf>
    <xf numFmtId="0" fontId="19" fillId="0" borderId="68" xfId="0" applyFont="1" applyBorder="1" applyAlignment="1">
      <alignment horizontal="center" vertical="center"/>
    </xf>
    <xf numFmtId="0" fontId="19" fillId="0" borderId="70" xfId="0" applyFont="1" applyBorder="1" applyAlignment="1">
      <alignment horizontal="center" vertical="center"/>
    </xf>
    <xf numFmtId="41" fontId="8" fillId="6" borderId="23" xfId="1" applyFont="1" applyFill="1" applyBorder="1" applyAlignment="1">
      <alignment horizontal="center" vertical="center" shrinkToFit="1"/>
    </xf>
    <xf numFmtId="41" fontId="11" fillId="6" borderId="23" xfId="1" applyFont="1" applyFill="1" applyBorder="1" applyAlignment="1">
      <alignment horizontal="center" vertical="center" shrinkToFit="1"/>
    </xf>
    <xf numFmtId="41" fontId="11" fillId="6" borderId="24" xfId="1" applyFont="1" applyFill="1" applyBorder="1" applyAlignment="1">
      <alignment horizontal="center" vertical="center" shrinkToFit="1"/>
    </xf>
    <xf numFmtId="41" fontId="11" fillId="6" borderId="22" xfId="1" applyFont="1" applyFill="1" applyBorder="1" applyAlignment="1">
      <alignment horizontal="center" vertical="center" shrinkToFit="1"/>
    </xf>
    <xf numFmtId="41" fontId="11" fillId="6" borderId="47" xfId="1" applyFont="1" applyFill="1" applyBorder="1" applyAlignment="1">
      <alignment horizontal="center" vertical="center" shrinkToFit="1"/>
    </xf>
    <xf numFmtId="41" fontId="11" fillId="6" borderId="48" xfId="1" applyFont="1" applyFill="1" applyBorder="1" applyAlignment="1">
      <alignment horizontal="center" vertical="center" shrinkToFit="1"/>
    </xf>
    <xf numFmtId="41" fontId="11" fillId="6" borderId="45" xfId="1" applyFont="1" applyFill="1" applyBorder="1" applyAlignment="1">
      <alignment horizontal="center" vertical="center" shrinkToFit="1"/>
    </xf>
    <xf numFmtId="41" fontId="11" fillId="6" borderId="6" xfId="1" applyFont="1" applyFill="1" applyBorder="1" applyAlignment="1">
      <alignment horizontal="center" vertical="center" shrinkToFit="1"/>
    </xf>
    <xf numFmtId="41" fontId="3" fillId="6" borderId="6" xfId="1" applyFont="1" applyFill="1" applyBorder="1" applyAlignment="1">
      <alignment horizontal="center" vertical="center" shrinkToFit="1"/>
    </xf>
    <xf numFmtId="41" fontId="3" fillId="6" borderId="7" xfId="1" applyFont="1" applyFill="1" applyBorder="1" applyAlignment="1">
      <alignment horizontal="center" vertical="center" shrinkToFit="1"/>
    </xf>
    <xf numFmtId="0" fontId="11" fillId="6" borderId="54" xfId="0" applyFont="1" applyFill="1" applyBorder="1" applyAlignment="1">
      <alignment horizontal="center" vertical="center" wrapText="1"/>
    </xf>
    <xf numFmtId="0" fontId="11" fillId="6" borderId="55" xfId="0" applyFont="1" applyFill="1" applyBorder="1" applyAlignment="1">
      <alignment horizontal="center" vertical="center" wrapText="1"/>
    </xf>
    <xf numFmtId="0" fontId="11" fillId="6" borderId="56" xfId="0" applyFont="1" applyFill="1" applyBorder="1" applyAlignment="1">
      <alignment horizontal="center" vertical="center" wrapText="1"/>
    </xf>
    <xf numFmtId="0" fontId="11" fillId="3" borderId="60" xfId="0" applyFont="1" applyFill="1" applyBorder="1" applyAlignment="1">
      <alignment horizontal="center" vertical="center" wrapText="1"/>
    </xf>
    <xf numFmtId="0" fontId="11" fillId="6" borderId="60" xfId="0" applyFont="1" applyFill="1" applyBorder="1" applyAlignment="1">
      <alignment horizontal="center" vertical="center" wrapText="1"/>
    </xf>
    <xf numFmtId="0" fontId="11" fillId="6" borderId="61" xfId="0" applyFont="1" applyFill="1" applyBorder="1" applyAlignment="1">
      <alignment horizontal="center" vertical="center" wrapText="1"/>
    </xf>
    <xf numFmtId="0" fontId="8" fillId="0" borderId="22" xfId="0" applyFont="1" applyBorder="1" applyAlignment="1">
      <alignment horizontal="center" vertical="center" shrinkToFit="1"/>
    </xf>
    <xf numFmtId="0" fontId="8" fillId="0" borderId="23" xfId="0" applyFont="1" applyBorder="1" applyAlignment="1">
      <alignment horizontal="center" vertical="center" shrinkToFit="1"/>
    </xf>
    <xf numFmtId="41" fontId="8" fillId="6" borderId="6" xfId="1" applyFont="1" applyFill="1" applyBorder="1" applyAlignment="1">
      <alignment horizontal="center" vertical="center" shrinkToFit="1"/>
    </xf>
    <xf numFmtId="0" fontId="11" fillId="6" borderId="39" xfId="0" applyFont="1" applyFill="1" applyBorder="1" applyAlignment="1">
      <alignment horizontal="center" vertical="center" wrapText="1"/>
    </xf>
    <xf numFmtId="0" fontId="11" fillId="6" borderId="40"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8" fillId="6" borderId="42" xfId="0" applyFont="1" applyFill="1" applyBorder="1" applyAlignment="1">
      <alignment horizontal="center" vertical="center" wrapText="1"/>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57" xfId="0" applyFont="1" applyFill="1" applyBorder="1" applyAlignment="1">
      <alignment horizontal="center" vertical="center" wrapText="1"/>
    </xf>
    <xf numFmtId="0" fontId="8" fillId="6" borderId="58" xfId="0" applyFont="1" applyFill="1" applyBorder="1" applyAlignment="1">
      <alignment horizontal="center" vertical="center" wrapText="1"/>
    </xf>
    <xf numFmtId="0" fontId="8" fillId="6" borderId="59"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6" borderId="35" xfId="0" applyFont="1" applyFill="1" applyBorder="1" applyAlignment="1">
      <alignment horizontal="center" vertical="center" wrapText="1"/>
    </xf>
    <xf numFmtId="0" fontId="8" fillId="0" borderId="5" xfId="0" applyFont="1" applyBorder="1" applyAlignment="1">
      <alignment horizontal="center" vertical="center" shrinkToFit="1"/>
    </xf>
    <xf numFmtId="0" fontId="8" fillId="0" borderId="6" xfId="0" applyFont="1" applyBorder="1" applyAlignment="1">
      <alignment horizontal="center" vertical="center" shrinkToFit="1"/>
    </xf>
    <xf numFmtId="41" fontId="8" fillId="6" borderId="52" xfId="1" applyFont="1" applyFill="1" applyBorder="1" applyAlignment="1">
      <alignment horizontal="center" vertical="center" shrinkToFit="1"/>
    </xf>
    <xf numFmtId="41" fontId="11" fillId="6" borderId="52" xfId="1" applyFont="1" applyFill="1" applyBorder="1" applyAlignment="1">
      <alignment horizontal="center" vertical="center" shrinkToFit="1"/>
    </xf>
    <xf numFmtId="41" fontId="11" fillId="6" borderId="36" xfId="1" applyFont="1" applyFill="1" applyBorder="1" applyAlignment="1">
      <alignment horizontal="center" vertical="center" shrinkToFit="1"/>
    </xf>
    <xf numFmtId="41" fontId="11" fillId="6" borderId="37" xfId="1" applyFont="1" applyFill="1" applyBorder="1" applyAlignment="1">
      <alignment horizontal="center" vertical="center" shrinkToFit="1"/>
    </xf>
    <xf numFmtId="41" fontId="11" fillId="6" borderId="46" xfId="1" applyFont="1" applyFill="1" applyBorder="1" applyAlignment="1">
      <alignment horizontal="center" vertical="center" shrinkToFit="1"/>
    </xf>
    <xf numFmtId="41" fontId="3" fillId="6" borderId="46" xfId="1" applyFont="1" applyFill="1" applyBorder="1" applyAlignment="1">
      <alignment horizontal="center" vertical="center" shrinkToFit="1"/>
    </xf>
    <xf numFmtId="41" fontId="3" fillId="6" borderId="47" xfId="1" applyFont="1" applyFill="1" applyBorder="1" applyAlignment="1">
      <alignment horizontal="center" vertical="center" shrinkToFit="1"/>
    </xf>
    <xf numFmtId="0" fontId="11" fillId="3" borderId="34" xfId="0" applyFont="1" applyFill="1" applyBorder="1" applyAlignment="1">
      <alignment horizontal="center" vertical="center" wrapText="1"/>
    </xf>
    <xf numFmtId="0" fontId="8" fillId="0" borderId="37" xfId="0" applyFont="1" applyBorder="1" applyAlignment="1">
      <alignment horizontal="center" vertical="center" shrinkToFit="1"/>
    </xf>
    <xf numFmtId="0" fontId="8" fillId="0" borderId="52" xfId="0" applyFont="1" applyBorder="1" applyAlignment="1">
      <alignment horizontal="center" vertical="center" shrinkToFit="1"/>
    </xf>
    <xf numFmtId="41" fontId="8" fillId="6" borderId="46" xfId="1" applyFont="1" applyFill="1" applyBorder="1" applyAlignment="1">
      <alignment horizontal="center" vertical="center" shrinkToFit="1"/>
    </xf>
    <xf numFmtId="41" fontId="11" fillId="6" borderId="38" xfId="1" applyFont="1" applyFill="1" applyBorder="1" applyAlignment="1">
      <alignment horizontal="center" vertical="center" shrinkToFit="1"/>
    </xf>
    <xf numFmtId="41" fontId="3" fillId="6" borderId="52" xfId="1" applyFont="1" applyFill="1" applyBorder="1" applyAlignment="1">
      <alignment horizontal="center" vertical="center" shrinkToFit="1"/>
    </xf>
    <xf numFmtId="41" fontId="3" fillId="6" borderId="36" xfId="1" applyFont="1" applyFill="1" applyBorder="1" applyAlignment="1">
      <alignment horizontal="center" vertical="center" shrinkToFit="1"/>
    </xf>
    <xf numFmtId="41" fontId="11" fillId="6" borderId="62" xfId="1" applyFont="1" applyFill="1" applyBorder="1" applyAlignment="1">
      <alignment horizontal="center" vertical="center" shrinkToFit="1"/>
    </xf>
    <xf numFmtId="41" fontId="3" fillId="6" borderId="23" xfId="1" applyFont="1" applyFill="1" applyBorder="1" applyAlignment="1">
      <alignment horizontal="center" vertical="center" shrinkToFit="1"/>
    </xf>
    <xf numFmtId="41" fontId="3" fillId="6" borderId="24" xfId="1" applyFont="1" applyFill="1" applyBorder="1" applyAlignment="1">
      <alignment horizontal="center" vertical="center" shrinkToFit="1"/>
    </xf>
    <xf numFmtId="0" fontId="8" fillId="6" borderId="49" xfId="0" applyFont="1" applyFill="1" applyBorder="1" applyAlignment="1">
      <alignment horizontal="center" vertical="center" wrapText="1"/>
    </xf>
    <xf numFmtId="0" fontId="8" fillId="6" borderId="50" xfId="0" applyFont="1" applyFill="1" applyBorder="1" applyAlignment="1">
      <alignment horizontal="center" vertical="center" wrapText="1"/>
    </xf>
    <xf numFmtId="0" fontId="8" fillId="6" borderId="51" xfId="0" applyFont="1" applyFill="1" applyBorder="1" applyAlignment="1">
      <alignment horizontal="center" vertical="center" wrapText="1"/>
    </xf>
    <xf numFmtId="0" fontId="8" fillId="0" borderId="45" xfId="0" applyFont="1" applyBorder="1" applyAlignment="1">
      <alignment horizontal="center" vertical="center" shrinkToFit="1"/>
    </xf>
    <xf numFmtId="0" fontId="8" fillId="0" borderId="46" xfId="0" applyFont="1" applyBorder="1" applyAlignment="1">
      <alignment horizontal="center" vertical="center" shrinkToFit="1"/>
    </xf>
    <xf numFmtId="41" fontId="8" fillId="6" borderId="9" xfId="1" applyFont="1" applyFill="1" applyBorder="1" applyAlignment="1">
      <alignment horizontal="center" vertical="center" shrinkToFit="1"/>
    </xf>
    <xf numFmtId="41" fontId="11" fillId="6" borderId="9" xfId="1" applyFont="1" applyFill="1" applyBorder="1" applyAlignment="1">
      <alignment horizontal="center" vertical="center" shrinkToFit="1"/>
    </xf>
    <xf numFmtId="41" fontId="11" fillId="6" borderId="21" xfId="1" applyFont="1" applyFill="1" applyBorder="1" applyAlignment="1">
      <alignment horizontal="center" vertical="center" shrinkToFit="1"/>
    </xf>
    <xf numFmtId="41" fontId="11" fillId="6" borderId="29" xfId="1" applyFont="1" applyFill="1" applyBorder="1" applyAlignment="1">
      <alignment horizontal="center" vertical="center" shrinkToFit="1"/>
    </xf>
    <xf numFmtId="41" fontId="11" fillId="6" borderId="20" xfId="1" applyFont="1" applyFill="1" applyBorder="1" applyAlignment="1">
      <alignment horizontal="center" vertical="center" shrinkToFit="1"/>
    </xf>
    <xf numFmtId="41" fontId="11" fillId="6" borderId="15" xfId="1" applyFont="1" applyFill="1" applyBorder="1" applyAlignment="1">
      <alignment horizontal="center" vertical="center" shrinkToFit="1"/>
    </xf>
    <xf numFmtId="41" fontId="3" fillId="6" borderId="15" xfId="1" applyFont="1" applyFill="1" applyBorder="1" applyAlignment="1">
      <alignment horizontal="center" vertical="center" shrinkToFit="1"/>
    </xf>
    <xf numFmtId="41" fontId="3" fillId="6" borderId="21" xfId="1" applyFont="1" applyFill="1" applyBorder="1" applyAlignment="1">
      <alignment horizontal="center" vertical="center" shrinkToFit="1"/>
    </xf>
    <xf numFmtId="0" fontId="8" fillId="3" borderId="34" xfId="0" applyFont="1" applyFill="1" applyBorder="1" applyAlignment="1">
      <alignment horizontal="center" vertical="center" wrapText="1"/>
    </xf>
    <xf numFmtId="0" fontId="8" fillId="0" borderId="8" xfId="0" applyFont="1" applyBorder="1" applyAlignment="1">
      <alignment horizontal="center" vertical="center" shrinkToFit="1"/>
    </xf>
    <xf numFmtId="0" fontId="8" fillId="0" borderId="9" xfId="0" applyFont="1" applyBorder="1" applyAlignment="1">
      <alignment horizontal="center" vertical="center" shrinkToFit="1"/>
    </xf>
    <xf numFmtId="41" fontId="8" fillId="6" borderId="15" xfId="1" applyFont="1" applyFill="1" applyBorder="1" applyAlignment="1">
      <alignment horizontal="center" vertical="center" shrinkToFit="1"/>
    </xf>
    <xf numFmtId="0" fontId="11" fillId="0" borderId="34" xfId="0" applyFont="1" applyBorder="1" applyAlignment="1">
      <alignment horizontal="center" vertical="center" shrinkToFit="1"/>
    </xf>
    <xf numFmtId="0" fontId="11" fillId="3" borderId="34" xfId="0" applyFont="1" applyFill="1" applyBorder="1" applyAlignment="1">
      <alignment horizontal="center" vertical="center" shrinkToFit="1"/>
    </xf>
    <xf numFmtId="0" fontId="11" fillId="2" borderId="34" xfId="0" applyFont="1" applyFill="1" applyBorder="1" applyAlignment="1">
      <alignment horizontal="center" vertical="center" wrapText="1"/>
    </xf>
    <xf numFmtId="0" fontId="8" fillId="0" borderId="20" xfId="0" applyFont="1" applyBorder="1" applyAlignment="1">
      <alignment horizontal="center" vertical="center" shrinkToFit="1"/>
    </xf>
    <xf numFmtId="0" fontId="8" fillId="0" borderId="15" xfId="0" applyFont="1" applyBorder="1" applyAlignment="1">
      <alignment horizontal="center" vertical="center" shrinkToFit="1"/>
    </xf>
    <xf numFmtId="41" fontId="8" fillId="0" borderId="15" xfId="1" applyFont="1" applyBorder="1" applyAlignment="1">
      <alignment horizontal="center" vertical="center" shrinkToFit="1"/>
    </xf>
    <xf numFmtId="41" fontId="8" fillId="0" borderId="21" xfId="1" applyFont="1" applyBorder="1" applyAlignment="1">
      <alignment horizontal="center" vertical="center" shrinkToFit="1"/>
    </xf>
    <xf numFmtId="41" fontId="8" fillId="0" borderId="29" xfId="1" applyFont="1" applyBorder="1" applyAlignment="1">
      <alignment horizontal="center" vertical="center" shrinkToFit="1"/>
    </xf>
    <xf numFmtId="41" fontId="8" fillId="0" borderId="20" xfId="1" applyFont="1" applyBorder="1" applyAlignment="1">
      <alignment horizontal="center" vertical="center" shrinkToFit="1"/>
    </xf>
    <xf numFmtId="0" fontId="11" fillId="0" borderId="34" xfId="0" applyFont="1" applyBorder="1" applyAlignment="1">
      <alignment horizontal="center" vertical="center" wrapText="1"/>
    </xf>
    <xf numFmtId="0" fontId="19" fillId="0" borderId="20" xfId="0" applyFont="1" applyBorder="1" applyAlignment="1">
      <alignment horizontal="center" vertical="center" shrinkToFit="1"/>
    </xf>
    <xf numFmtId="0" fontId="19" fillId="0" borderId="15" xfId="0" applyFont="1" applyBorder="1" applyAlignment="1">
      <alignment horizontal="center" vertical="center" shrinkToFit="1"/>
    </xf>
    <xf numFmtId="41" fontId="3" fillId="6" borderId="9" xfId="1" applyFont="1" applyFill="1" applyBorder="1" applyAlignment="1">
      <alignment horizontal="center" vertical="center" shrinkToFit="1"/>
    </xf>
    <xf numFmtId="41" fontId="3" fillId="6" borderId="10" xfId="1" applyFont="1" applyFill="1" applyBorder="1" applyAlignment="1">
      <alignment horizontal="center" vertical="center" shrinkToFit="1"/>
    </xf>
    <xf numFmtId="0" fontId="8" fillId="0" borderId="15" xfId="0" applyFont="1" applyBorder="1" applyAlignment="1">
      <alignment horizontal="center" vertical="center" wrapText="1"/>
    </xf>
    <xf numFmtId="0" fontId="8" fillId="0" borderId="21"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3" fillId="0" borderId="15"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20"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4" xfId="0" applyFont="1" applyBorder="1" applyAlignment="1">
      <alignment horizontal="center" vertical="center" textRotation="255" shrinkToFit="1"/>
    </xf>
    <xf numFmtId="0" fontId="8" fillId="0" borderId="35"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11" fillId="0" borderId="15" xfId="0" applyFont="1" applyBorder="1" applyAlignment="1">
      <alignment horizontal="center" vertical="center" wrapText="1"/>
    </xf>
    <xf numFmtId="0" fontId="3" fillId="0" borderId="15" xfId="0" quotePrefix="1"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6" fillId="6" borderId="15"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4" xfId="0" applyFont="1" applyBorder="1" applyAlignment="1">
      <alignment horizontal="left" vertical="top" wrapText="1"/>
    </xf>
    <xf numFmtId="0" fontId="8" fillId="0" borderId="4" xfId="0" applyFont="1" applyBorder="1" applyAlignment="1">
      <alignment horizontal="right"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11" fillId="6" borderId="12"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59" fillId="6" borderId="1" xfId="0" applyFont="1" applyFill="1" applyBorder="1" applyAlignment="1">
      <alignment horizontal="center" vertical="center"/>
    </xf>
    <xf numFmtId="0" fontId="59" fillId="6" borderId="2" xfId="0" applyFont="1" applyFill="1" applyBorder="1" applyAlignment="1">
      <alignment horizontal="center" vertical="center"/>
    </xf>
    <xf numFmtId="0" fontId="59" fillId="6" borderId="3" xfId="0" applyFont="1" applyFill="1" applyBorder="1" applyAlignment="1">
      <alignment horizontal="center" vertical="center"/>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6" borderId="18"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5" xfId="0" applyFont="1" applyBorder="1" applyAlignment="1">
      <alignment horizontal="center" vertical="center" textRotation="255" wrapText="1"/>
    </xf>
    <xf numFmtId="0" fontId="6" fillId="0" borderId="29" xfId="0" applyFont="1" applyBorder="1" applyAlignment="1">
      <alignment horizontal="center" vertical="center" textRotation="255" wrapText="1"/>
    </xf>
    <xf numFmtId="0" fontId="6" fillId="0" borderId="20" xfId="0" applyFont="1" applyBorder="1" applyAlignment="1">
      <alignment horizontal="center" vertical="center" textRotation="255" wrapText="1"/>
    </xf>
    <xf numFmtId="0" fontId="6" fillId="0" borderId="80" xfId="0" applyFont="1" applyBorder="1" applyAlignment="1">
      <alignment horizontal="center" vertical="center" textRotation="255"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1"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4" xfId="0" applyFont="1" applyBorder="1" applyAlignment="1">
      <alignment horizontal="center" vertical="center" wrapText="1"/>
    </xf>
    <xf numFmtId="0" fontId="15" fillId="0" borderId="31" xfId="0" applyFont="1" applyBorder="1" applyAlignment="1">
      <alignment horizontal="center" vertical="center" wrapText="1"/>
    </xf>
    <xf numFmtId="0" fontId="13" fillId="0" borderId="31" xfId="0" applyFont="1" applyBorder="1" applyAlignment="1">
      <alignment horizontal="center" vertical="center" wrapText="1" shrinkToFit="1"/>
    </xf>
    <xf numFmtId="0" fontId="13" fillId="0" borderId="32" xfId="0" applyFont="1" applyBorder="1" applyAlignment="1">
      <alignment horizontal="center" vertical="center" wrapText="1" shrinkToFit="1"/>
    </xf>
    <xf numFmtId="0" fontId="8" fillId="0" borderId="20"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5" xfId="0" applyFont="1" applyBorder="1" applyAlignment="1">
      <alignment horizontal="center" vertical="center" wrapText="1"/>
    </xf>
    <xf numFmtId="0" fontId="6" fillId="0" borderId="21" xfId="0" applyFont="1" applyBorder="1" applyAlignment="1">
      <alignment horizontal="center" vertical="center" wrapText="1"/>
    </xf>
    <xf numFmtId="0" fontId="19" fillId="0" borderId="171" xfId="0" applyFont="1" applyBorder="1" applyAlignment="1">
      <alignment horizontal="center" vertical="center" wrapText="1"/>
    </xf>
    <xf numFmtId="0" fontId="19" fillId="0" borderId="172" xfId="0" applyFont="1" applyBorder="1" applyAlignment="1">
      <alignment horizontal="center" vertical="center" wrapText="1"/>
    </xf>
    <xf numFmtId="0" fontId="19" fillId="0" borderId="173" xfId="0" applyFont="1" applyBorder="1" applyAlignment="1">
      <alignment horizontal="center" vertical="center" wrapText="1"/>
    </xf>
    <xf numFmtId="0" fontId="19" fillId="0" borderId="176" xfId="0" applyFont="1" applyBorder="1" applyAlignment="1">
      <alignment horizontal="center" vertical="center" wrapText="1"/>
    </xf>
    <xf numFmtId="0" fontId="19" fillId="0" borderId="0" xfId="0" applyFont="1" applyAlignment="1">
      <alignment horizontal="center" vertical="center" wrapText="1"/>
    </xf>
    <xf numFmtId="0" fontId="19" fillId="0" borderId="177" xfId="0" applyFont="1" applyBorder="1" applyAlignment="1">
      <alignment horizontal="center" vertical="center" wrapText="1"/>
    </xf>
    <xf numFmtId="0" fontId="19" fillId="0" borderId="178"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7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21" fillId="0" borderId="168" xfId="0" applyFont="1" applyBorder="1" applyAlignment="1">
      <alignment horizontal="center" vertical="center" wrapText="1"/>
    </xf>
    <xf numFmtId="0" fontId="21" fillId="0" borderId="169" xfId="0" applyFont="1" applyBorder="1" applyAlignment="1">
      <alignment horizontal="center" vertical="center" wrapText="1"/>
    </xf>
    <xf numFmtId="0" fontId="21" fillId="0" borderId="170" xfId="0" applyFont="1" applyBorder="1" applyAlignment="1">
      <alignment horizontal="center" vertical="center" wrapText="1"/>
    </xf>
    <xf numFmtId="41" fontId="19" fillId="3" borderId="23" xfId="1" applyFont="1" applyFill="1" applyBorder="1" applyAlignment="1">
      <alignment horizontal="center" vertical="center" shrinkToFit="1"/>
    </xf>
    <xf numFmtId="0" fontId="21" fillId="0" borderId="171" xfId="0" applyFont="1" applyBorder="1" applyAlignment="1">
      <alignment horizontal="center" vertical="center" wrapText="1"/>
    </xf>
    <xf numFmtId="0" fontId="21" fillId="0" borderId="172" xfId="0" applyFont="1" applyBorder="1" applyAlignment="1">
      <alignment horizontal="center" vertical="center" wrapText="1"/>
    </xf>
    <xf numFmtId="0" fontId="21" fillId="0" borderId="173" xfId="0" applyFont="1" applyBorder="1" applyAlignment="1">
      <alignment horizontal="center" vertical="center" wrapText="1"/>
    </xf>
    <xf numFmtId="0" fontId="21" fillId="0" borderId="176" xfId="0" applyFont="1" applyBorder="1" applyAlignment="1">
      <alignment horizontal="center" vertical="center" wrapText="1"/>
    </xf>
    <xf numFmtId="0" fontId="21" fillId="0" borderId="0" xfId="0" applyFont="1" applyAlignment="1">
      <alignment horizontal="center" vertical="center" wrapText="1"/>
    </xf>
    <xf numFmtId="0" fontId="21" fillId="0" borderId="177" xfId="0" applyFont="1" applyBorder="1" applyAlignment="1">
      <alignment horizontal="center" vertical="center" wrapText="1"/>
    </xf>
    <xf numFmtId="0" fontId="21" fillId="0" borderId="178"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179" xfId="0" applyFont="1" applyBorder="1" applyAlignment="1">
      <alignment horizontal="center" vertical="center" wrapText="1"/>
    </xf>
    <xf numFmtId="0" fontId="18" fillId="0" borderId="171" xfId="0" applyFont="1" applyBorder="1" applyAlignment="1">
      <alignment horizontal="center" vertical="center" wrapText="1"/>
    </xf>
    <xf numFmtId="0" fontId="18" fillId="0" borderId="172" xfId="0" applyFont="1" applyBorder="1" applyAlignment="1">
      <alignment horizontal="center" vertical="center" wrapText="1"/>
    </xf>
    <xf numFmtId="0" fontId="18" fillId="0" borderId="173" xfId="0" applyFont="1" applyBorder="1" applyAlignment="1">
      <alignment horizontal="center" vertical="center" wrapText="1"/>
    </xf>
    <xf numFmtId="0" fontId="18" fillId="0" borderId="174" xfId="0" applyFont="1" applyBorder="1" applyAlignment="1">
      <alignment horizontal="center" vertical="center" wrapText="1"/>
    </xf>
    <xf numFmtId="0" fontId="18" fillId="0" borderId="87" xfId="0" applyFont="1" applyBorder="1" applyAlignment="1">
      <alignment horizontal="center" vertical="center" wrapText="1"/>
    </xf>
    <xf numFmtId="0" fontId="18" fillId="0" borderId="175" xfId="0" applyFont="1" applyBorder="1" applyAlignment="1">
      <alignment horizontal="center" vertical="center" wrapText="1"/>
    </xf>
    <xf numFmtId="0" fontId="19" fillId="0" borderId="174" xfId="0" applyFont="1" applyBorder="1" applyAlignment="1">
      <alignment horizontal="center" vertical="center" wrapText="1"/>
    </xf>
    <xf numFmtId="0" fontId="19" fillId="0" borderId="87" xfId="0" applyFont="1" applyBorder="1" applyAlignment="1">
      <alignment horizontal="center" vertical="center" wrapText="1"/>
    </xf>
    <xf numFmtId="0" fontId="19" fillId="0" borderId="175" xfId="0" applyFont="1" applyBorder="1" applyAlignment="1">
      <alignment horizontal="center" vertical="center" wrapText="1"/>
    </xf>
    <xf numFmtId="0" fontId="20" fillId="0" borderId="71" xfId="0" applyFont="1" applyBorder="1" applyAlignment="1">
      <alignment horizontal="center" vertical="center" shrinkToFit="1"/>
    </xf>
    <xf numFmtId="0" fontId="20" fillId="0" borderId="72" xfId="0" applyFont="1" applyBorder="1" applyAlignment="1">
      <alignment horizontal="center" vertical="center" shrinkToFit="1"/>
    </xf>
    <xf numFmtId="0" fontId="8" fillId="0" borderId="115" xfId="0" applyFont="1" applyBorder="1" applyAlignment="1">
      <alignment horizontal="right" wrapText="1"/>
    </xf>
    <xf numFmtId="0" fontId="8" fillId="0" borderId="85" xfId="0" applyFont="1" applyBorder="1" applyAlignment="1">
      <alignment horizontal="right" wrapText="1"/>
    </xf>
    <xf numFmtId="0" fontId="19" fillId="0" borderId="211" xfId="0" applyFont="1" applyBorder="1" applyAlignment="1">
      <alignment horizontal="center" vertical="center" wrapText="1"/>
    </xf>
    <xf numFmtId="0" fontId="19" fillId="0" borderId="0" xfId="0" applyFont="1" applyAlignment="1">
      <alignment horizontal="right" vertical="center"/>
    </xf>
    <xf numFmtId="0" fontId="19" fillId="0" borderId="4" xfId="0" applyFont="1" applyBorder="1" applyAlignment="1">
      <alignment horizontal="right" vertical="center"/>
    </xf>
    <xf numFmtId="41" fontId="19" fillId="3" borderId="96" xfId="1" applyFont="1" applyFill="1" applyBorder="1" applyAlignment="1">
      <alignment horizontal="center" vertical="center" shrinkToFit="1"/>
    </xf>
    <xf numFmtId="41" fontId="19" fillId="6" borderId="218" xfId="1" applyFont="1" applyFill="1" applyBorder="1" applyAlignment="1">
      <alignment horizontal="center" vertical="center" shrinkToFit="1"/>
    </xf>
    <xf numFmtId="41" fontId="19" fillId="6" borderId="219" xfId="1" applyFont="1" applyFill="1" applyBorder="1" applyAlignment="1">
      <alignment horizontal="center" vertical="center" shrinkToFit="1"/>
    </xf>
    <xf numFmtId="9" fontId="14" fillId="0" borderId="21" xfId="0" applyNumberFormat="1" applyFont="1" applyBorder="1" applyAlignment="1">
      <alignment horizontal="center" vertical="center" wrapText="1"/>
    </xf>
    <xf numFmtId="0" fontId="11" fillId="4" borderId="77" xfId="0" applyFont="1" applyFill="1" applyBorder="1" applyAlignment="1">
      <alignment horizontal="center" vertical="center" wrapText="1"/>
    </xf>
    <xf numFmtId="0" fontId="11" fillId="4" borderId="86" xfId="0" applyFont="1" applyFill="1" applyBorder="1" applyAlignment="1">
      <alignment horizontal="center" vertical="center" wrapText="1"/>
    </xf>
    <xf numFmtId="0" fontId="11" fillId="4" borderId="76" xfId="0" applyFont="1" applyFill="1" applyBorder="1" applyAlignment="1">
      <alignment horizontal="center"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37</xdr:row>
          <xdr:rowOff>9526</xdr:rowOff>
        </xdr:from>
        <xdr:to>
          <xdr:col>41</xdr:col>
          <xdr:colOff>123825</xdr:colOff>
          <xdr:row>37</xdr:row>
          <xdr:rowOff>579952</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a:extLst>
                <a:ext uri="{84589F7E-364E-4C9E-8A38-B11213B215E9}">
                  <a14:cameraTool cellRange="[1]Sheet2!$A$1:$F$4" spid="_x0000_s1111"/>
                </a:ext>
              </a:extLst>
            </xdr:cNvPicPr>
          </xdr:nvPicPr>
          <xdr:blipFill>
            <a:blip xmlns:r="http://schemas.openxmlformats.org/officeDocument/2006/relationships" r:embed="rId1"/>
            <a:srcRect/>
            <a:stretch>
              <a:fillRect/>
            </a:stretch>
          </xdr:blipFill>
          <xdr:spPr bwMode="auto">
            <a:xfrm>
              <a:off x="152400" y="8039101"/>
              <a:ext cx="7734300" cy="57042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152400</xdr:colOff>
          <xdr:row>46</xdr:row>
          <xdr:rowOff>9525</xdr:rowOff>
        </xdr:from>
        <xdr:to>
          <xdr:col>40</xdr:col>
          <xdr:colOff>9525</xdr:colOff>
          <xdr:row>46</xdr:row>
          <xdr:rowOff>523875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a:extLst>
                <a:ext uri="{84589F7E-364E-4C9E-8A38-B11213B215E9}">
                  <a14:cameraTool cellRange="[1]Sheet2!$H$5:$K$7" spid="_x0000_s1112"/>
                </a:ext>
              </a:extLst>
            </xdr:cNvPicPr>
          </xdr:nvPicPr>
          <xdr:blipFill>
            <a:blip xmlns:r="http://schemas.openxmlformats.org/officeDocument/2006/relationships" r:embed="rId2"/>
            <a:srcRect/>
            <a:stretch>
              <a:fillRect/>
            </a:stretch>
          </xdr:blipFill>
          <xdr:spPr bwMode="auto">
            <a:xfrm>
              <a:off x="152400" y="10896600"/>
              <a:ext cx="7439025" cy="5143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49888;&#46041;&#54872;\Desktop\&#51089;&#50629;&#45236;&#50669;\10.%20&#50672;&#47568;&#51221;&#49328;\2022&#45380;\02.%20&#50504;&#45236;&#44592;&#50504;\2022&#45380;%20&#49548;&#46301;&#49464;&#50529;&#44277;&#51228;&#49888;&#44256;&#49436;(&#50641;&#494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안내문"/>
      <sheetName val="2022년 소득공제신고서"/>
      <sheetName val="2020년 소득공제신고서 (요약 사용금지XXX)"/>
      <sheetName val="Sheet2"/>
      <sheetName val="sheet"/>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workbookViewId="0">
      <selection activeCell="L16" sqref="L16"/>
    </sheetView>
  </sheetViews>
  <sheetFormatPr defaultRowHeight="28.5" customHeight="1"/>
  <cols>
    <col min="9" max="9" width="14.75" customWidth="1"/>
  </cols>
  <sheetData>
    <row r="1" spans="1:9" ht="28.5" customHeight="1">
      <c r="A1" s="80"/>
      <c r="B1" s="80"/>
      <c r="C1" s="80"/>
      <c r="D1" s="45"/>
    </row>
    <row r="3" spans="1:9" ht="28.5" customHeight="1">
      <c r="A3" s="81" t="s">
        <v>436</v>
      </c>
      <c r="B3" s="81"/>
      <c r="C3" s="81"/>
      <c r="D3" s="81"/>
      <c r="E3" s="81"/>
      <c r="F3" s="81"/>
      <c r="G3" s="81"/>
      <c r="H3" s="81"/>
      <c r="I3" s="81"/>
    </row>
    <row r="5" spans="1:9" ht="28.5" customHeight="1">
      <c r="A5" t="s">
        <v>437</v>
      </c>
    </row>
    <row r="6" spans="1:9" ht="28.5" customHeight="1">
      <c r="A6" t="s">
        <v>438</v>
      </c>
    </row>
    <row r="7" spans="1:9" ht="28.5" customHeight="1">
      <c r="A7" t="s">
        <v>439</v>
      </c>
    </row>
    <row r="8" spans="1:9" ht="28.5" customHeight="1">
      <c r="A8" t="s">
        <v>440</v>
      </c>
    </row>
    <row r="9" spans="1:9" ht="28.5" customHeight="1">
      <c r="A9" t="s">
        <v>441</v>
      </c>
    </row>
    <row r="10" spans="1:9" ht="28.5" customHeight="1">
      <c r="A10" t="s">
        <v>460</v>
      </c>
    </row>
    <row r="11" spans="1:9" ht="28.5" customHeight="1">
      <c r="A11" t="s">
        <v>442</v>
      </c>
    </row>
    <row r="12" spans="1:9" ht="28.5" customHeight="1">
      <c r="A12" t="s">
        <v>443</v>
      </c>
    </row>
    <row r="13" spans="1:9" ht="28.5" customHeight="1">
      <c r="A13" t="s">
        <v>444</v>
      </c>
    </row>
    <row r="14" spans="1:9" ht="28.5" customHeight="1">
      <c r="A14" t="s">
        <v>445</v>
      </c>
    </row>
    <row r="15" spans="1:9" ht="28.5" customHeight="1">
      <c r="A15" t="s">
        <v>446</v>
      </c>
    </row>
    <row r="16" spans="1:9" ht="28.5" customHeight="1">
      <c r="A16" t="s">
        <v>459</v>
      </c>
    </row>
    <row r="17" spans="1:9" ht="28.5" customHeight="1">
      <c r="A17" s="46" t="s">
        <v>447</v>
      </c>
    </row>
    <row r="18" spans="1:9" ht="28.5" customHeight="1">
      <c r="A18" s="47" t="s">
        <v>448</v>
      </c>
    </row>
    <row r="19" spans="1:9" ht="28.5" customHeight="1">
      <c r="A19" s="47" t="s">
        <v>449</v>
      </c>
    </row>
    <row r="23" spans="1:9" ht="28.5" customHeight="1">
      <c r="A23" s="82" t="s">
        <v>450</v>
      </c>
      <c r="B23" s="82"/>
      <c r="C23" s="82"/>
      <c r="D23" s="82"/>
      <c r="E23" s="82"/>
      <c r="F23" s="82"/>
      <c r="G23" s="82"/>
      <c r="H23" s="82"/>
      <c r="I23" s="82"/>
    </row>
  </sheetData>
  <mergeCells count="3">
    <mergeCell ref="A1:C1"/>
    <mergeCell ref="A3:I3"/>
    <mergeCell ref="A23:I23"/>
  </mergeCells>
  <phoneticPr fontId="4" type="noConversion"/>
  <pageMargins left="0.47" right="0.34" top="0.9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R332"/>
  <sheetViews>
    <sheetView tabSelected="1" view="pageBreakPreview" zoomScale="130" zoomScaleNormal="115" zoomScaleSheetLayoutView="130" workbookViewId="0">
      <selection activeCell="AB7" sqref="AB7:AP7"/>
    </sheetView>
  </sheetViews>
  <sheetFormatPr defaultColWidth="3" defaultRowHeight="16.5"/>
  <cols>
    <col min="1" max="1" width="3" style="1"/>
    <col min="2" max="2" width="3.375" style="1" customWidth="1"/>
    <col min="3" max="3" width="2.75" style="1" customWidth="1"/>
    <col min="4" max="6" width="3" style="1"/>
    <col min="7" max="9" width="2.125" style="1" customWidth="1"/>
    <col min="10" max="17" width="1.5" style="1" customWidth="1"/>
    <col min="18" max="18" width="2.25" style="1" customWidth="1"/>
    <col min="19" max="19" width="1.875" style="1" customWidth="1"/>
    <col min="20" max="27" width="2.75" style="1" customWidth="1"/>
    <col min="28" max="31" width="3" style="1" customWidth="1"/>
    <col min="32" max="33" width="2.25" style="1" customWidth="1"/>
    <col min="34" max="34" width="3.25" style="1" customWidth="1"/>
    <col min="35" max="35" width="3.375" style="1" customWidth="1"/>
    <col min="36" max="40" width="2.75" style="1" customWidth="1"/>
    <col min="41" max="42" width="2.375" style="1" customWidth="1"/>
    <col min="43" max="16384" width="3" style="1"/>
  </cols>
  <sheetData>
    <row r="1" spans="1:44" ht="19.5" customHeight="1">
      <c r="B1" s="69"/>
      <c r="C1" s="70"/>
      <c r="D1" s="70"/>
      <c r="E1" s="71"/>
      <c r="F1" s="1" t="s">
        <v>0</v>
      </c>
      <c r="S1" s="2"/>
      <c r="T1" s="2"/>
      <c r="U1" s="755" t="s">
        <v>533</v>
      </c>
      <c r="V1" s="756"/>
      <c r="W1" s="756"/>
      <c r="X1" s="756"/>
      <c r="Y1" s="756"/>
      <c r="Z1" s="756"/>
      <c r="AA1" s="756"/>
      <c r="AB1" s="756"/>
      <c r="AC1" s="756"/>
      <c r="AD1" s="756"/>
      <c r="AE1" s="756"/>
      <c r="AF1" s="756"/>
      <c r="AG1" s="756"/>
      <c r="AH1" s="756"/>
      <c r="AI1" s="756"/>
      <c r="AJ1" s="756"/>
      <c r="AK1" s="756"/>
      <c r="AL1" s="756"/>
      <c r="AM1" s="756"/>
      <c r="AN1" s="756"/>
      <c r="AO1" s="756"/>
      <c r="AP1" s="756"/>
      <c r="AQ1" s="756"/>
      <c r="AR1" s="757"/>
    </row>
    <row r="2" spans="1:44" ht="5.25" customHeight="1">
      <c r="A2" s="3"/>
      <c r="B2" s="3"/>
      <c r="C2" s="3"/>
      <c r="D2" s="4"/>
      <c r="E2" s="4"/>
      <c r="F2" s="4"/>
    </row>
    <row r="3" spans="1:44" ht="15" customHeight="1">
      <c r="A3" s="742" t="s">
        <v>451</v>
      </c>
      <c r="B3" s="742"/>
      <c r="C3" s="742"/>
      <c r="D3" s="742"/>
      <c r="E3" s="742"/>
      <c r="F3" s="742"/>
      <c r="G3" s="742"/>
      <c r="H3" s="742"/>
      <c r="I3" s="742"/>
      <c r="J3" s="742"/>
      <c r="K3" s="742"/>
      <c r="L3" s="742"/>
      <c r="M3" s="742"/>
      <c r="N3" s="742"/>
      <c r="O3" s="742"/>
      <c r="P3" s="742"/>
      <c r="Q3" s="742"/>
      <c r="R3" s="742"/>
      <c r="S3" s="742"/>
      <c r="T3" s="742"/>
      <c r="U3" s="742"/>
      <c r="V3" s="742"/>
      <c r="W3" s="742"/>
      <c r="X3" s="742"/>
      <c r="Y3" s="5"/>
      <c r="Z3" s="6"/>
      <c r="AA3" s="6"/>
      <c r="AB3" s="5"/>
      <c r="AC3" s="5"/>
      <c r="AD3" s="5"/>
      <c r="AE3" s="5"/>
      <c r="AF3" s="5"/>
      <c r="AG3" s="5"/>
      <c r="AH3" s="743" t="s">
        <v>1</v>
      </c>
      <c r="AI3" s="743"/>
      <c r="AJ3" s="743"/>
      <c r="AK3" s="743"/>
      <c r="AL3" s="743"/>
      <c r="AM3" s="743"/>
      <c r="AN3" s="743"/>
      <c r="AO3" s="743"/>
      <c r="AP3" s="743"/>
    </row>
    <row r="4" spans="1:44" ht="23.25" customHeight="1">
      <c r="A4" s="744" t="s">
        <v>452</v>
      </c>
      <c r="B4" s="745"/>
      <c r="C4" s="745"/>
      <c r="D4" s="745"/>
      <c r="E4" s="745"/>
      <c r="F4" s="745"/>
      <c r="G4" s="745"/>
      <c r="H4" s="745"/>
      <c r="I4" s="745"/>
      <c r="J4" s="745"/>
      <c r="K4" s="745"/>
      <c r="L4" s="745"/>
      <c r="M4" s="745"/>
      <c r="N4" s="745"/>
      <c r="O4" s="745"/>
      <c r="P4" s="745"/>
      <c r="Q4" s="745"/>
      <c r="R4" s="745"/>
      <c r="S4" s="745"/>
      <c r="T4" s="745"/>
      <c r="U4" s="745"/>
      <c r="V4" s="745"/>
      <c r="W4" s="745"/>
      <c r="X4" s="745"/>
      <c r="Y4" s="745"/>
      <c r="Z4" s="745"/>
      <c r="AA4" s="745"/>
      <c r="AB4" s="745"/>
      <c r="AC4" s="745"/>
      <c r="AD4" s="745"/>
      <c r="AE4" s="745"/>
      <c r="AF4" s="745"/>
      <c r="AG4" s="745"/>
      <c r="AH4" s="745"/>
      <c r="AI4" s="745"/>
      <c r="AJ4" s="745"/>
      <c r="AK4" s="745"/>
      <c r="AL4" s="745"/>
      <c r="AM4" s="745"/>
      <c r="AN4" s="745"/>
      <c r="AO4" s="745"/>
      <c r="AP4" s="746"/>
    </row>
    <row r="5" spans="1:44" ht="37.5" customHeight="1">
      <c r="A5" s="747" t="s">
        <v>2</v>
      </c>
      <c r="B5" s="748"/>
      <c r="C5" s="748"/>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748"/>
      <c r="AD5" s="748"/>
      <c r="AE5" s="748"/>
      <c r="AF5" s="748"/>
      <c r="AG5" s="748"/>
      <c r="AH5" s="748"/>
      <c r="AI5" s="748"/>
      <c r="AJ5" s="748"/>
      <c r="AK5" s="748"/>
      <c r="AL5" s="748"/>
      <c r="AM5" s="748"/>
      <c r="AN5" s="748"/>
      <c r="AO5" s="748"/>
      <c r="AP5" s="749"/>
    </row>
    <row r="6" spans="1:44" ht="18" customHeight="1">
      <c r="A6" s="750" t="s">
        <v>3</v>
      </c>
      <c r="B6" s="751"/>
      <c r="C6" s="751"/>
      <c r="D6" s="751"/>
      <c r="E6" s="751"/>
      <c r="F6" s="751"/>
      <c r="G6" s="752" t="s">
        <v>532</v>
      </c>
      <c r="H6" s="752"/>
      <c r="I6" s="752"/>
      <c r="J6" s="752"/>
      <c r="K6" s="752"/>
      <c r="L6" s="752"/>
      <c r="M6" s="752"/>
      <c r="N6" s="752"/>
      <c r="O6" s="752"/>
      <c r="P6" s="752"/>
      <c r="Q6" s="752"/>
      <c r="R6" s="752"/>
      <c r="S6" s="752"/>
      <c r="T6" s="752"/>
      <c r="U6" s="752"/>
      <c r="V6" s="751" t="s">
        <v>4</v>
      </c>
      <c r="W6" s="751"/>
      <c r="X6" s="751"/>
      <c r="Y6" s="751"/>
      <c r="Z6" s="751"/>
      <c r="AA6" s="751"/>
      <c r="AB6" s="753" t="s">
        <v>532</v>
      </c>
      <c r="AC6" s="753"/>
      <c r="AD6" s="753"/>
      <c r="AE6" s="753"/>
      <c r="AF6" s="753"/>
      <c r="AG6" s="753"/>
      <c r="AH6" s="753"/>
      <c r="AI6" s="753"/>
      <c r="AJ6" s="753"/>
      <c r="AK6" s="753"/>
      <c r="AL6" s="753"/>
      <c r="AM6" s="753"/>
      <c r="AN6" s="753"/>
      <c r="AO6" s="753"/>
      <c r="AP6" s="754"/>
    </row>
    <row r="7" spans="1:44" ht="18" customHeight="1">
      <c r="A7" s="734" t="s">
        <v>6</v>
      </c>
      <c r="B7" s="735"/>
      <c r="C7" s="735"/>
      <c r="D7" s="735"/>
      <c r="E7" s="735"/>
      <c r="F7" s="735"/>
      <c r="G7" s="736"/>
      <c r="H7" s="736"/>
      <c r="I7" s="736"/>
      <c r="J7" s="736"/>
      <c r="K7" s="736"/>
      <c r="L7" s="736"/>
      <c r="M7" s="736"/>
      <c r="N7" s="736"/>
      <c r="O7" s="736"/>
      <c r="P7" s="736"/>
      <c r="Q7" s="736"/>
      <c r="R7" s="736"/>
      <c r="S7" s="736"/>
      <c r="T7" s="736"/>
      <c r="U7" s="736"/>
      <c r="V7" s="735" t="s">
        <v>7</v>
      </c>
      <c r="W7" s="735"/>
      <c r="X7" s="735"/>
      <c r="Y7" s="735"/>
      <c r="Z7" s="735"/>
      <c r="AA7" s="735"/>
      <c r="AB7" s="737"/>
      <c r="AC7" s="737"/>
      <c r="AD7" s="738"/>
      <c r="AE7" s="738"/>
      <c r="AF7" s="738"/>
      <c r="AG7" s="738"/>
      <c r="AH7" s="738"/>
      <c r="AI7" s="738"/>
      <c r="AJ7" s="738"/>
      <c r="AK7" s="738"/>
      <c r="AL7" s="738"/>
      <c r="AM7" s="738"/>
      <c r="AN7" s="738"/>
      <c r="AO7" s="738"/>
      <c r="AP7" s="739"/>
    </row>
    <row r="8" spans="1:44" ht="18" customHeight="1">
      <c r="A8" s="734" t="s">
        <v>8</v>
      </c>
      <c r="B8" s="735"/>
      <c r="C8" s="735"/>
      <c r="D8" s="735"/>
      <c r="E8" s="735"/>
      <c r="F8" s="735"/>
      <c r="G8" s="740" t="s">
        <v>534</v>
      </c>
      <c r="H8" s="740"/>
      <c r="I8" s="740"/>
      <c r="J8" s="740"/>
      <c r="K8" s="740"/>
      <c r="L8" s="740"/>
      <c r="M8" s="740"/>
      <c r="N8" s="740"/>
      <c r="O8" s="740"/>
      <c r="P8" s="740"/>
      <c r="Q8" s="740"/>
      <c r="R8" s="740"/>
      <c r="S8" s="740"/>
      <c r="T8" s="740"/>
      <c r="U8" s="740"/>
      <c r="V8" s="735" t="s">
        <v>9</v>
      </c>
      <c r="W8" s="735"/>
      <c r="X8" s="735"/>
      <c r="Y8" s="735"/>
      <c r="Z8" s="735"/>
      <c r="AA8" s="735"/>
      <c r="AB8" s="735" t="s">
        <v>10</v>
      </c>
      <c r="AC8" s="735"/>
      <c r="AD8" s="735"/>
      <c r="AE8" s="735"/>
      <c r="AF8" s="735"/>
      <c r="AG8" s="735"/>
      <c r="AH8" s="735"/>
      <c r="AI8" s="735"/>
      <c r="AJ8" s="735"/>
      <c r="AK8" s="735"/>
      <c r="AL8" s="735"/>
      <c r="AM8" s="735"/>
      <c r="AN8" s="735"/>
      <c r="AO8" s="735"/>
      <c r="AP8" s="741"/>
    </row>
    <row r="9" spans="1:44" ht="18" customHeight="1">
      <c r="A9" s="758" t="s">
        <v>11</v>
      </c>
      <c r="B9" s="759"/>
      <c r="C9" s="759"/>
      <c r="D9" s="759"/>
      <c r="E9" s="759"/>
      <c r="F9" s="759"/>
      <c r="G9" s="760" t="s">
        <v>531</v>
      </c>
      <c r="H9" s="760"/>
      <c r="I9" s="760"/>
      <c r="J9" s="760"/>
      <c r="K9" s="760"/>
      <c r="L9" s="760"/>
      <c r="M9" s="760"/>
      <c r="N9" s="760"/>
      <c r="O9" s="760"/>
      <c r="P9" s="760"/>
      <c r="Q9" s="760"/>
      <c r="R9" s="760"/>
      <c r="S9" s="760"/>
      <c r="T9" s="760"/>
      <c r="U9" s="760"/>
      <c r="V9" s="759" t="s">
        <v>12</v>
      </c>
      <c r="W9" s="759"/>
      <c r="X9" s="759"/>
      <c r="Y9" s="759"/>
      <c r="Z9" s="759"/>
      <c r="AA9" s="759"/>
      <c r="AB9" s="759" t="s">
        <v>453</v>
      </c>
      <c r="AC9" s="759"/>
      <c r="AD9" s="759"/>
      <c r="AE9" s="759"/>
      <c r="AF9" s="759"/>
      <c r="AG9" s="759"/>
      <c r="AH9" s="759"/>
      <c r="AI9" s="759"/>
      <c r="AJ9" s="759"/>
      <c r="AK9" s="759"/>
      <c r="AL9" s="759"/>
      <c r="AM9" s="759"/>
      <c r="AN9" s="759"/>
      <c r="AO9" s="759"/>
      <c r="AP9" s="761"/>
    </row>
    <row r="10" spans="1:44" ht="18" customHeight="1">
      <c r="A10" s="762" t="s">
        <v>13</v>
      </c>
      <c r="B10" s="763"/>
      <c r="C10" s="763"/>
      <c r="D10" s="763"/>
      <c r="E10" s="763"/>
      <c r="F10" s="763"/>
      <c r="G10" s="763" t="s">
        <v>536</v>
      </c>
      <c r="H10" s="763"/>
      <c r="I10" s="763"/>
      <c r="J10" s="763"/>
      <c r="K10" s="763"/>
      <c r="L10" s="763"/>
      <c r="M10" s="763"/>
      <c r="N10" s="763"/>
      <c r="O10" s="763"/>
      <c r="P10" s="763"/>
      <c r="Q10" s="763"/>
      <c r="R10" s="763"/>
      <c r="S10" s="763"/>
      <c r="T10" s="763"/>
      <c r="U10" s="763"/>
      <c r="V10" s="763" t="s">
        <v>14</v>
      </c>
      <c r="W10" s="763"/>
      <c r="X10" s="763"/>
      <c r="Y10" s="763"/>
      <c r="Z10" s="763"/>
      <c r="AA10" s="763"/>
      <c r="AB10" s="763" t="s">
        <v>15</v>
      </c>
      <c r="AC10" s="763"/>
      <c r="AD10" s="763"/>
      <c r="AE10" s="763"/>
      <c r="AF10" s="763"/>
      <c r="AG10" s="763"/>
      <c r="AH10" s="763"/>
      <c r="AI10" s="763"/>
      <c r="AJ10" s="763"/>
      <c r="AK10" s="763"/>
      <c r="AL10" s="763"/>
      <c r="AM10" s="763"/>
      <c r="AN10" s="763"/>
      <c r="AO10" s="763"/>
      <c r="AP10" s="764"/>
    </row>
    <row r="11" spans="1:44" ht="18" customHeight="1">
      <c r="A11" s="779" t="s">
        <v>16</v>
      </c>
      <c r="B11" s="780"/>
      <c r="C11" s="780"/>
      <c r="D11" s="780"/>
      <c r="E11" s="780"/>
      <c r="F11" s="780"/>
      <c r="G11" s="740" t="s">
        <v>535</v>
      </c>
      <c r="H11" s="740"/>
      <c r="I11" s="740"/>
      <c r="J11" s="740"/>
      <c r="K11" s="740"/>
      <c r="L11" s="740"/>
      <c r="M11" s="740"/>
      <c r="N11" s="740"/>
      <c r="O11" s="740"/>
      <c r="P11" s="740"/>
      <c r="Q11" s="740"/>
      <c r="R11" s="740"/>
      <c r="S11" s="740"/>
      <c r="T11" s="740"/>
      <c r="U11" s="740"/>
      <c r="V11" s="735" t="s">
        <v>17</v>
      </c>
      <c r="W11" s="735"/>
      <c r="X11" s="735"/>
      <c r="Y11" s="735"/>
      <c r="Z11" s="735"/>
      <c r="AA11" s="735"/>
      <c r="AB11" s="735" t="s">
        <v>18</v>
      </c>
      <c r="AC11" s="735"/>
      <c r="AD11" s="735"/>
      <c r="AE11" s="735"/>
      <c r="AF11" s="735"/>
      <c r="AG11" s="735"/>
      <c r="AH11" s="735"/>
      <c r="AI11" s="735"/>
      <c r="AJ11" s="735"/>
      <c r="AK11" s="735"/>
      <c r="AL11" s="735"/>
      <c r="AM11" s="735"/>
      <c r="AN11" s="735"/>
      <c r="AO11" s="735"/>
      <c r="AP11" s="781"/>
    </row>
    <row r="12" spans="1:44" ht="18" customHeight="1">
      <c r="A12" s="791" t="s">
        <v>19</v>
      </c>
      <c r="B12" s="792"/>
      <c r="C12" s="792"/>
      <c r="D12" s="792"/>
      <c r="E12" s="792"/>
      <c r="F12" s="792"/>
      <c r="G12" s="792" t="s">
        <v>20</v>
      </c>
      <c r="H12" s="792"/>
      <c r="I12" s="792"/>
      <c r="J12" s="792"/>
      <c r="K12" s="792"/>
      <c r="L12" s="792"/>
      <c r="M12" s="792"/>
      <c r="N12" s="792"/>
      <c r="O12" s="792"/>
      <c r="P12" s="792"/>
      <c r="Q12" s="792"/>
      <c r="R12" s="792"/>
      <c r="S12" s="792"/>
      <c r="T12" s="792"/>
      <c r="U12" s="792"/>
      <c r="V12" s="793" t="s">
        <v>21</v>
      </c>
      <c r="W12" s="793"/>
      <c r="X12" s="793"/>
      <c r="Y12" s="793"/>
      <c r="Z12" s="793"/>
      <c r="AA12" s="793"/>
      <c r="AB12" s="793"/>
      <c r="AC12" s="793"/>
      <c r="AD12" s="793"/>
      <c r="AE12" s="793"/>
      <c r="AF12" s="793"/>
      <c r="AG12" s="793"/>
      <c r="AH12" s="793"/>
      <c r="AI12" s="793"/>
      <c r="AJ12" s="793"/>
      <c r="AK12" s="793"/>
      <c r="AL12" s="793"/>
      <c r="AM12" s="793"/>
      <c r="AN12" s="793"/>
      <c r="AO12" s="793"/>
      <c r="AP12" s="794"/>
    </row>
    <row r="13" spans="1:44" ht="16.5" customHeight="1">
      <c r="A13" s="765" t="s">
        <v>22</v>
      </c>
      <c r="B13" s="769" t="s">
        <v>23</v>
      </c>
      <c r="C13" s="769"/>
      <c r="D13" s="769"/>
      <c r="E13" s="769"/>
      <c r="F13" s="769"/>
      <c r="G13" s="769"/>
      <c r="H13" s="769"/>
      <c r="I13" s="769"/>
      <c r="J13" s="769"/>
      <c r="K13" s="769"/>
      <c r="L13" s="769"/>
      <c r="M13" s="769"/>
      <c r="N13" s="769"/>
      <c r="O13" s="769"/>
      <c r="P13" s="769"/>
      <c r="Q13" s="769"/>
      <c r="R13" s="770" t="s">
        <v>24</v>
      </c>
      <c r="S13" s="770"/>
      <c r="T13" s="770"/>
      <c r="U13" s="770"/>
      <c r="V13" s="770"/>
      <c r="W13" s="770"/>
      <c r="X13" s="770"/>
      <c r="Y13" s="770"/>
      <c r="Z13" s="770"/>
      <c r="AA13" s="770"/>
      <c r="AB13" s="770"/>
      <c r="AC13" s="770"/>
      <c r="AD13" s="770"/>
      <c r="AE13" s="770"/>
      <c r="AF13" s="770"/>
      <c r="AG13" s="770"/>
      <c r="AH13" s="770"/>
      <c r="AI13" s="770"/>
      <c r="AJ13" s="770"/>
      <c r="AK13" s="770"/>
      <c r="AL13" s="770"/>
      <c r="AM13" s="770"/>
      <c r="AN13" s="770"/>
      <c r="AO13" s="770"/>
      <c r="AP13" s="771"/>
    </row>
    <row r="14" spans="1:44" ht="24" customHeight="1">
      <c r="A14" s="766"/>
      <c r="B14" s="7" t="s">
        <v>25</v>
      </c>
      <c r="C14" s="772" t="s">
        <v>26</v>
      </c>
      <c r="D14" s="772"/>
      <c r="E14" s="772"/>
      <c r="F14" s="772"/>
      <c r="G14" s="773" t="s">
        <v>27</v>
      </c>
      <c r="H14" s="773"/>
      <c r="I14" s="773"/>
      <c r="J14" s="775" t="s">
        <v>28</v>
      </c>
      <c r="K14" s="775"/>
      <c r="L14" s="775"/>
      <c r="M14" s="775"/>
      <c r="N14" s="776" t="s">
        <v>29</v>
      </c>
      <c r="O14" s="776"/>
      <c r="P14" s="776" t="s">
        <v>30</v>
      </c>
      <c r="Q14" s="777"/>
      <c r="R14" s="778" t="s">
        <v>31</v>
      </c>
      <c r="S14" s="721"/>
      <c r="T14" s="721" t="s">
        <v>32</v>
      </c>
      <c r="U14" s="721"/>
      <c r="V14" s="721"/>
      <c r="W14" s="721"/>
      <c r="X14" s="721"/>
      <c r="Y14" s="721"/>
      <c r="Z14" s="721"/>
      <c r="AA14" s="721"/>
      <c r="AB14" s="721" t="s">
        <v>33</v>
      </c>
      <c r="AC14" s="721"/>
      <c r="AD14" s="721"/>
      <c r="AE14" s="721"/>
      <c r="AF14" s="721"/>
      <c r="AG14" s="721"/>
      <c r="AH14" s="721"/>
      <c r="AI14" s="721"/>
      <c r="AJ14" s="721"/>
      <c r="AK14" s="721"/>
      <c r="AL14" s="721"/>
      <c r="AM14" s="721" t="s">
        <v>34</v>
      </c>
      <c r="AN14" s="721"/>
      <c r="AO14" s="721"/>
      <c r="AP14" s="722"/>
    </row>
    <row r="15" spans="1:44" ht="36" customHeight="1">
      <c r="A15" s="766"/>
      <c r="B15" s="8" t="s">
        <v>35</v>
      </c>
      <c r="C15" s="731" t="s">
        <v>4</v>
      </c>
      <c r="D15" s="731"/>
      <c r="E15" s="731"/>
      <c r="F15" s="731"/>
      <c r="G15" s="774"/>
      <c r="H15" s="774"/>
      <c r="I15" s="774"/>
      <c r="J15" s="732" t="s">
        <v>36</v>
      </c>
      <c r="K15" s="732"/>
      <c r="L15" s="732" t="s">
        <v>37</v>
      </c>
      <c r="M15" s="732"/>
      <c r="N15" s="732" t="s">
        <v>38</v>
      </c>
      <c r="O15" s="732"/>
      <c r="P15" s="731" t="s">
        <v>39</v>
      </c>
      <c r="Q15" s="733"/>
      <c r="R15" s="778"/>
      <c r="S15" s="721"/>
      <c r="T15" s="725" t="s">
        <v>40</v>
      </c>
      <c r="U15" s="725"/>
      <c r="V15" s="725" t="s">
        <v>41</v>
      </c>
      <c r="W15" s="725"/>
      <c r="X15" s="725" t="s">
        <v>42</v>
      </c>
      <c r="Y15" s="725"/>
      <c r="Z15" s="725" t="s">
        <v>43</v>
      </c>
      <c r="AA15" s="725"/>
      <c r="AB15" s="9" t="s">
        <v>44</v>
      </c>
      <c r="AC15" s="726" t="s">
        <v>45</v>
      </c>
      <c r="AD15" s="727"/>
      <c r="AE15" s="725" t="s">
        <v>46</v>
      </c>
      <c r="AF15" s="725"/>
      <c r="AG15" s="728" t="s">
        <v>47</v>
      </c>
      <c r="AH15" s="729"/>
      <c r="AI15" s="730"/>
      <c r="AJ15" s="444" t="s">
        <v>48</v>
      </c>
      <c r="AK15" s="444"/>
      <c r="AL15" s="444"/>
      <c r="AM15" s="721" t="s">
        <v>49</v>
      </c>
      <c r="AN15" s="721"/>
      <c r="AO15" s="721" t="s">
        <v>50</v>
      </c>
      <c r="AP15" s="722"/>
    </row>
    <row r="16" spans="1:44" ht="18" customHeight="1">
      <c r="A16" s="766"/>
      <c r="B16" s="723" t="s">
        <v>51</v>
      </c>
      <c r="C16" s="724"/>
      <c r="D16" s="724"/>
      <c r="E16" s="724"/>
      <c r="F16" s="724"/>
      <c r="G16" s="724"/>
      <c r="H16" s="724"/>
      <c r="I16" s="724"/>
      <c r="J16" s="709"/>
      <c r="K16" s="709"/>
      <c r="L16" s="709"/>
      <c r="M16" s="709"/>
      <c r="N16" s="669"/>
      <c r="O16" s="669"/>
      <c r="P16" s="669"/>
      <c r="Q16" s="670"/>
      <c r="R16" s="717" t="s">
        <v>52</v>
      </c>
      <c r="S16" s="718"/>
      <c r="T16" s="712">
        <f>SUM(T18,T20,T22)</f>
        <v>0</v>
      </c>
      <c r="U16" s="712"/>
      <c r="V16" s="712">
        <f t="shared" ref="V16" si="0">SUM(V18,V20,V22)</f>
        <v>0</v>
      </c>
      <c r="W16" s="712"/>
      <c r="X16" s="712">
        <f t="shared" ref="X16" si="1">SUM(X18,X20,X22)</f>
        <v>0</v>
      </c>
      <c r="Y16" s="712"/>
      <c r="Z16" s="712">
        <f t="shared" ref="Z16" si="2">SUM(Z18,Z20,Z22)</f>
        <v>0</v>
      </c>
      <c r="AA16" s="712"/>
      <c r="AB16" s="10">
        <f t="shared" ref="AB16" si="3">SUM(AB18,AB20,AB22)</f>
        <v>0</v>
      </c>
      <c r="AC16" s="712">
        <f t="shared" ref="AC16:AE16" si="4">SUM(AC18,AC20,AC22)</f>
        <v>0</v>
      </c>
      <c r="AD16" s="712"/>
      <c r="AE16" s="712">
        <f t="shared" si="4"/>
        <v>0</v>
      </c>
      <c r="AF16" s="712"/>
      <c r="AG16" s="713">
        <f>SUM(AH18,AH20,AH22)</f>
        <v>0</v>
      </c>
      <c r="AH16" s="714"/>
      <c r="AI16" s="715"/>
      <c r="AJ16" s="712">
        <f t="shared" ref="AJ16" si="5">SUM(AJ18,AJ20,AJ22)</f>
        <v>0</v>
      </c>
      <c r="AK16" s="712"/>
      <c r="AL16" s="712"/>
      <c r="AM16" s="712">
        <f t="shared" ref="AM16" si="6">SUM(AM18,AM20,AM22)</f>
        <v>0</v>
      </c>
      <c r="AN16" s="712"/>
      <c r="AO16" s="712">
        <f t="shared" ref="AO16" si="7">SUM(AO18,AO20,AO22)</f>
        <v>0</v>
      </c>
      <c r="AP16" s="713"/>
    </row>
    <row r="17" spans="1:42" ht="18" customHeight="1">
      <c r="A17" s="766"/>
      <c r="B17" s="723"/>
      <c r="C17" s="724"/>
      <c r="D17" s="724"/>
      <c r="E17" s="724"/>
      <c r="F17" s="724"/>
      <c r="G17" s="724"/>
      <c r="H17" s="724"/>
      <c r="I17" s="724"/>
      <c r="J17" s="716"/>
      <c r="K17" s="716"/>
      <c r="L17" s="716"/>
      <c r="M17" s="716"/>
      <c r="N17" s="669"/>
      <c r="O17" s="669"/>
      <c r="P17" s="669"/>
      <c r="Q17" s="670"/>
      <c r="R17" s="717" t="s">
        <v>53</v>
      </c>
      <c r="S17" s="718"/>
      <c r="T17" s="712">
        <f>SUM(T19,T21,T23)</f>
        <v>0</v>
      </c>
      <c r="U17" s="712"/>
      <c r="V17" s="712">
        <f>SUM(V19,V21,V23)</f>
        <v>0</v>
      </c>
      <c r="W17" s="712"/>
      <c r="X17" s="712">
        <f>SUM(X19,X21,X23)</f>
        <v>0</v>
      </c>
      <c r="Y17" s="712"/>
      <c r="Z17" s="712">
        <f>SUM(Z19,Z21,Z23)</f>
        <v>0</v>
      </c>
      <c r="AA17" s="712"/>
      <c r="AB17" s="10">
        <f>SUM(AB19,AB21,AB23)</f>
        <v>0</v>
      </c>
      <c r="AC17" s="712">
        <f>SUM(AC19,AC21,AC23)</f>
        <v>0</v>
      </c>
      <c r="AD17" s="712"/>
      <c r="AE17" s="712">
        <f>SUM(AE19,AE21,AE23)</f>
        <v>0</v>
      </c>
      <c r="AF17" s="712"/>
      <c r="AG17" s="713">
        <f>SUM(AH19,AH21,AH23)</f>
        <v>0</v>
      </c>
      <c r="AH17" s="714"/>
      <c r="AI17" s="715"/>
      <c r="AJ17" s="712">
        <f>SUM(AJ19,AJ21,AJ23)</f>
        <v>0</v>
      </c>
      <c r="AK17" s="712"/>
      <c r="AL17" s="712"/>
      <c r="AM17" s="712">
        <f>SUM(AM19,AM21,AM23)</f>
        <v>0</v>
      </c>
      <c r="AN17" s="712"/>
      <c r="AO17" s="712">
        <f>SUM(AO19,AO21,AO23)</f>
        <v>0</v>
      </c>
      <c r="AP17" s="713"/>
    </row>
    <row r="18" spans="1:42" ht="18" customHeight="1">
      <c r="A18" s="766"/>
      <c r="B18" s="11">
        <v>0</v>
      </c>
      <c r="C18" s="707" t="str">
        <f>G6</f>
        <v xml:space="preserve"> </v>
      </c>
      <c r="D18" s="707"/>
      <c r="E18" s="707"/>
      <c r="F18" s="707"/>
      <c r="G18" s="708"/>
      <c r="H18" s="708"/>
      <c r="I18" s="708"/>
      <c r="J18" s="709" t="s">
        <v>54</v>
      </c>
      <c r="K18" s="709"/>
      <c r="L18" s="709"/>
      <c r="M18" s="709"/>
      <c r="N18" s="669"/>
      <c r="O18" s="669"/>
      <c r="P18" s="669"/>
      <c r="Q18" s="670"/>
      <c r="R18" s="710" t="s">
        <v>55</v>
      </c>
      <c r="S18" s="711"/>
      <c r="T18" s="706"/>
      <c r="U18" s="706"/>
      <c r="V18" s="706"/>
      <c r="W18" s="706"/>
      <c r="X18" s="700"/>
      <c r="Y18" s="700"/>
      <c r="Z18" s="700"/>
      <c r="AA18" s="700"/>
      <c r="AB18" s="74"/>
      <c r="AC18" s="697"/>
      <c r="AD18" s="699"/>
      <c r="AE18" s="700"/>
      <c r="AF18" s="700"/>
      <c r="AG18" s="697"/>
      <c r="AH18" s="698"/>
      <c r="AI18" s="699"/>
      <c r="AJ18" s="700"/>
      <c r="AK18" s="700"/>
      <c r="AL18" s="700"/>
      <c r="AM18" s="700"/>
      <c r="AN18" s="700"/>
      <c r="AO18" s="701"/>
      <c r="AP18" s="702"/>
    </row>
    <row r="19" spans="1:42" ht="18" customHeight="1">
      <c r="A19" s="766"/>
      <c r="B19" s="12"/>
      <c r="C19" s="703" t="s">
        <v>56</v>
      </c>
      <c r="D19" s="703"/>
      <c r="E19" s="703"/>
      <c r="F19" s="703"/>
      <c r="G19" s="708"/>
      <c r="H19" s="708"/>
      <c r="I19" s="708"/>
      <c r="J19" s="669"/>
      <c r="K19" s="669"/>
      <c r="L19" s="669"/>
      <c r="M19" s="669"/>
      <c r="N19" s="669"/>
      <c r="O19" s="669"/>
      <c r="P19" s="669"/>
      <c r="Q19" s="670"/>
      <c r="R19" s="704" t="s">
        <v>57</v>
      </c>
      <c r="S19" s="705"/>
      <c r="T19" s="695"/>
      <c r="U19" s="695"/>
      <c r="V19" s="695"/>
      <c r="W19" s="695"/>
      <c r="X19" s="696"/>
      <c r="Y19" s="696"/>
      <c r="Z19" s="696"/>
      <c r="AA19" s="696"/>
      <c r="AB19" s="75"/>
      <c r="AC19" s="675"/>
      <c r="AD19" s="676"/>
      <c r="AE19" s="696"/>
      <c r="AF19" s="696"/>
      <c r="AG19" s="675"/>
      <c r="AH19" s="684"/>
      <c r="AI19" s="676"/>
      <c r="AJ19" s="696"/>
      <c r="AK19" s="696"/>
      <c r="AL19" s="696"/>
      <c r="AM19" s="696"/>
      <c r="AN19" s="696"/>
      <c r="AO19" s="719"/>
      <c r="AP19" s="720"/>
    </row>
    <row r="20" spans="1:42" ht="18" customHeight="1">
      <c r="A20" s="766"/>
      <c r="B20" s="72"/>
      <c r="C20" s="660"/>
      <c r="D20" s="661"/>
      <c r="E20" s="661"/>
      <c r="F20" s="662"/>
      <c r="G20" s="663"/>
      <c r="H20" s="664"/>
      <c r="I20" s="665"/>
      <c r="J20" s="669"/>
      <c r="K20" s="669"/>
      <c r="L20" s="669"/>
      <c r="M20" s="669"/>
      <c r="N20" s="669"/>
      <c r="O20" s="669"/>
      <c r="P20" s="669"/>
      <c r="Q20" s="670"/>
      <c r="R20" s="693" t="s">
        <v>55</v>
      </c>
      <c r="S20" s="694"/>
      <c r="T20" s="683"/>
      <c r="U20" s="683"/>
      <c r="V20" s="683"/>
      <c r="W20" s="683"/>
      <c r="X20" s="677"/>
      <c r="Y20" s="677"/>
      <c r="Z20" s="677"/>
      <c r="AA20" s="677"/>
      <c r="AB20" s="76"/>
      <c r="AC20" s="645"/>
      <c r="AD20" s="647"/>
      <c r="AE20" s="677"/>
      <c r="AF20" s="677"/>
      <c r="AG20" s="645"/>
      <c r="AH20" s="646"/>
      <c r="AI20" s="647"/>
      <c r="AJ20" s="677"/>
      <c r="AK20" s="677"/>
      <c r="AL20" s="677"/>
      <c r="AM20" s="677"/>
      <c r="AN20" s="677"/>
      <c r="AO20" s="678"/>
      <c r="AP20" s="679"/>
    </row>
    <row r="21" spans="1:42" ht="18" customHeight="1">
      <c r="A21" s="766"/>
      <c r="B21" s="72"/>
      <c r="C21" s="660" t="s">
        <v>58</v>
      </c>
      <c r="D21" s="661"/>
      <c r="E21" s="661"/>
      <c r="F21" s="662"/>
      <c r="G21" s="690"/>
      <c r="H21" s="691"/>
      <c r="I21" s="692"/>
      <c r="J21" s="680"/>
      <c r="K21" s="680"/>
      <c r="L21" s="680"/>
      <c r="M21" s="680"/>
      <c r="N21" s="669"/>
      <c r="O21" s="669"/>
      <c r="P21" s="669"/>
      <c r="Q21" s="670"/>
      <c r="R21" s="681" t="s">
        <v>57</v>
      </c>
      <c r="S21" s="682"/>
      <c r="T21" s="673"/>
      <c r="U21" s="673"/>
      <c r="V21" s="673"/>
      <c r="W21" s="673"/>
      <c r="X21" s="674"/>
      <c r="Y21" s="674"/>
      <c r="Z21" s="674"/>
      <c r="AA21" s="674"/>
      <c r="AB21" s="77"/>
      <c r="AC21" s="675"/>
      <c r="AD21" s="676"/>
      <c r="AE21" s="674"/>
      <c r="AF21" s="674"/>
      <c r="AG21" s="675"/>
      <c r="AH21" s="684"/>
      <c r="AI21" s="676"/>
      <c r="AJ21" s="674"/>
      <c r="AK21" s="674"/>
      <c r="AL21" s="674"/>
      <c r="AM21" s="674"/>
      <c r="AN21" s="674"/>
      <c r="AO21" s="685"/>
      <c r="AP21" s="686"/>
    </row>
    <row r="22" spans="1:42" ht="18" customHeight="1">
      <c r="A22" s="766"/>
      <c r="B22" s="72"/>
      <c r="C22" s="660"/>
      <c r="D22" s="661"/>
      <c r="E22" s="661"/>
      <c r="F22" s="662"/>
      <c r="G22" s="663"/>
      <c r="H22" s="664"/>
      <c r="I22" s="665"/>
      <c r="J22" s="669"/>
      <c r="K22" s="669"/>
      <c r="L22" s="669"/>
      <c r="M22" s="669"/>
      <c r="N22" s="669"/>
      <c r="O22" s="669"/>
      <c r="P22" s="669"/>
      <c r="Q22" s="670"/>
      <c r="R22" s="671" t="s">
        <v>55</v>
      </c>
      <c r="S22" s="672"/>
      <c r="T22" s="659"/>
      <c r="U22" s="659"/>
      <c r="V22" s="659"/>
      <c r="W22" s="659"/>
      <c r="X22" s="648"/>
      <c r="Y22" s="648"/>
      <c r="Z22" s="648"/>
      <c r="AA22" s="648"/>
      <c r="AB22" s="78"/>
      <c r="AC22" s="645"/>
      <c r="AD22" s="647"/>
      <c r="AE22" s="648"/>
      <c r="AF22" s="648"/>
      <c r="AG22" s="645"/>
      <c r="AH22" s="646"/>
      <c r="AI22" s="647"/>
      <c r="AJ22" s="648"/>
      <c r="AK22" s="648"/>
      <c r="AL22" s="648"/>
      <c r="AM22" s="648"/>
      <c r="AN22" s="648"/>
      <c r="AO22" s="649"/>
      <c r="AP22" s="650"/>
    </row>
    <row r="23" spans="1:42" ht="18" customHeight="1">
      <c r="A23" s="766"/>
      <c r="B23" s="73"/>
      <c r="C23" s="651" t="s">
        <v>59</v>
      </c>
      <c r="D23" s="652"/>
      <c r="E23" s="652"/>
      <c r="F23" s="653"/>
      <c r="G23" s="666"/>
      <c r="H23" s="667"/>
      <c r="I23" s="668"/>
      <c r="J23" s="654"/>
      <c r="K23" s="654"/>
      <c r="L23" s="654"/>
      <c r="M23" s="654"/>
      <c r="N23" s="655"/>
      <c r="O23" s="655"/>
      <c r="P23" s="655"/>
      <c r="Q23" s="656"/>
      <c r="R23" s="657" t="s">
        <v>57</v>
      </c>
      <c r="S23" s="658"/>
      <c r="T23" s="641"/>
      <c r="U23" s="641"/>
      <c r="V23" s="641"/>
      <c r="W23" s="641"/>
      <c r="X23" s="642"/>
      <c r="Y23" s="642"/>
      <c r="Z23" s="642"/>
      <c r="AA23" s="642"/>
      <c r="AB23" s="79"/>
      <c r="AC23" s="643"/>
      <c r="AD23" s="644"/>
      <c r="AE23" s="642"/>
      <c r="AF23" s="642"/>
      <c r="AG23" s="643"/>
      <c r="AH23" s="687"/>
      <c r="AI23" s="644"/>
      <c r="AJ23" s="642"/>
      <c r="AK23" s="642"/>
      <c r="AL23" s="642"/>
      <c r="AM23" s="642"/>
      <c r="AN23" s="642"/>
      <c r="AO23" s="688"/>
      <c r="AP23" s="689"/>
    </row>
    <row r="24" spans="1:42" ht="18" customHeight="1">
      <c r="A24" s="767"/>
      <c r="B24" s="629" t="s">
        <v>60</v>
      </c>
      <c r="C24" s="629"/>
      <c r="D24" s="629"/>
      <c r="E24" s="629"/>
      <c r="F24" s="629"/>
      <c r="G24" s="629"/>
      <c r="H24" s="629"/>
      <c r="I24" s="629"/>
      <c r="J24" s="629"/>
      <c r="K24" s="629"/>
      <c r="L24" s="629"/>
      <c r="M24" s="629"/>
      <c r="N24" s="629"/>
      <c r="O24" s="629"/>
      <c r="P24" s="629"/>
      <c r="Q24" s="629"/>
      <c r="R24" s="629"/>
      <c r="S24" s="629"/>
      <c r="T24" s="629"/>
      <c r="U24" s="629"/>
      <c r="V24" s="629"/>
      <c r="W24" s="629"/>
      <c r="X24" s="629"/>
      <c r="Y24" s="629"/>
      <c r="Z24" s="629"/>
      <c r="AA24" s="629"/>
      <c r="AB24" s="629"/>
      <c r="AC24" s="629"/>
      <c r="AD24" s="629"/>
      <c r="AE24" s="629"/>
      <c r="AF24" s="629"/>
      <c r="AG24" s="629"/>
      <c r="AH24" s="629"/>
      <c r="AI24" s="629"/>
      <c r="AJ24" s="629"/>
      <c r="AK24" s="629"/>
      <c r="AL24" s="629"/>
      <c r="AM24" s="629"/>
      <c r="AN24" s="629"/>
      <c r="AO24" s="629"/>
      <c r="AP24" s="630"/>
    </row>
    <row r="25" spans="1:42" ht="18" customHeight="1">
      <c r="A25" s="767"/>
      <c r="B25" s="631" t="s">
        <v>61</v>
      </c>
      <c r="C25" s="632"/>
      <c r="D25" s="632" t="s">
        <v>31</v>
      </c>
      <c r="E25" s="632"/>
      <c r="F25" s="632"/>
      <c r="G25" s="637" t="s">
        <v>62</v>
      </c>
      <c r="H25" s="637"/>
      <c r="I25" s="637"/>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8" t="s">
        <v>63</v>
      </c>
      <c r="AO25" s="638"/>
      <c r="AP25" s="638"/>
    </row>
    <row r="26" spans="1:42" ht="18" customHeight="1">
      <c r="A26" s="767"/>
      <c r="B26" s="633"/>
      <c r="C26" s="634"/>
      <c r="D26" s="634"/>
      <c r="E26" s="634"/>
      <c r="F26" s="634"/>
      <c r="G26" s="782" t="s">
        <v>64</v>
      </c>
      <c r="H26" s="783"/>
      <c r="I26" s="783"/>
      <c r="J26" s="783"/>
      <c r="K26" s="783"/>
      <c r="L26" s="783"/>
      <c r="M26" s="784"/>
      <c r="N26" s="782" t="s">
        <v>65</v>
      </c>
      <c r="O26" s="783"/>
      <c r="P26" s="783"/>
      <c r="Q26" s="783"/>
      <c r="R26" s="783"/>
      <c r="S26" s="783"/>
      <c r="T26" s="784"/>
      <c r="U26" s="782" t="s">
        <v>66</v>
      </c>
      <c r="V26" s="783"/>
      <c r="W26" s="783"/>
      <c r="X26" s="784"/>
      <c r="Y26" s="808" t="s">
        <v>67</v>
      </c>
      <c r="Z26" s="809"/>
      <c r="AA26" s="809"/>
      <c r="AB26" s="809"/>
      <c r="AC26" s="809"/>
      <c r="AD26" s="810"/>
      <c r="AE26" s="782" t="s">
        <v>68</v>
      </c>
      <c r="AF26" s="783"/>
      <c r="AG26" s="783"/>
      <c r="AH26" s="783"/>
      <c r="AI26" s="783"/>
      <c r="AJ26" s="784"/>
      <c r="AK26" s="799" t="s">
        <v>482</v>
      </c>
      <c r="AL26" s="800"/>
      <c r="AM26" s="801"/>
      <c r="AN26" s="639"/>
      <c r="AO26" s="639"/>
      <c r="AP26" s="639"/>
    </row>
    <row r="27" spans="1:42" ht="18" customHeight="1">
      <c r="A27" s="767"/>
      <c r="B27" s="633"/>
      <c r="C27" s="634"/>
      <c r="D27" s="634"/>
      <c r="E27" s="634"/>
      <c r="F27" s="634"/>
      <c r="G27" s="785"/>
      <c r="H27" s="786"/>
      <c r="I27" s="786"/>
      <c r="J27" s="786"/>
      <c r="K27" s="786"/>
      <c r="L27" s="786"/>
      <c r="M27" s="787"/>
      <c r="N27" s="785"/>
      <c r="O27" s="786"/>
      <c r="P27" s="786"/>
      <c r="Q27" s="786"/>
      <c r="R27" s="786"/>
      <c r="S27" s="786"/>
      <c r="T27" s="787"/>
      <c r="U27" s="785"/>
      <c r="V27" s="786"/>
      <c r="W27" s="786"/>
      <c r="X27" s="787"/>
      <c r="Y27" s="811"/>
      <c r="Z27" s="812"/>
      <c r="AA27" s="812"/>
      <c r="AB27" s="812"/>
      <c r="AC27" s="812"/>
      <c r="AD27" s="813"/>
      <c r="AE27" s="814"/>
      <c r="AF27" s="815"/>
      <c r="AG27" s="815"/>
      <c r="AH27" s="815"/>
      <c r="AI27" s="815"/>
      <c r="AJ27" s="816"/>
      <c r="AK27" s="802"/>
      <c r="AL27" s="803"/>
      <c r="AM27" s="804"/>
      <c r="AN27" s="639"/>
      <c r="AO27" s="639"/>
      <c r="AP27" s="639"/>
    </row>
    <row r="28" spans="1:42" ht="18" customHeight="1">
      <c r="A28" s="767"/>
      <c r="B28" s="635"/>
      <c r="C28" s="636"/>
      <c r="D28" s="636"/>
      <c r="E28" s="636"/>
      <c r="F28" s="636"/>
      <c r="G28" s="788"/>
      <c r="H28" s="789"/>
      <c r="I28" s="789"/>
      <c r="J28" s="789"/>
      <c r="K28" s="789"/>
      <c r="L28" s="789"/>
      <c r="M28" s="790"/>
      <c r="N28" s="788"/>
      <c r="O28" s="789"/>
      <c r="P28" s="789"/>
      <c r="Q28" s="789"/>
      <c r="R28" s="789"/>
      <c r="S28" s="789"/>
      <c r="T28" s="790"/>
      <c r="U28" s="788"/>
      <c r="V28" s="789"/>
      <c r="W28" s="789"/>
      <c r="X28" s="790"/>
      <c r="Y28" s="795" t="s">
        <v>455</v>
      </c>
      <c r="Z28" s="796"/>
      <c r="AA28" s="797"/>
      <c r="AB28" s="795" t="s">
        <v>456</v>
      </c>
      <c r="AC28" s="796"/>
      <c r="AD28" s="797"/>
      <c r="AE28" s="795" t="s">
        <v>455</v>
      </c>
      <c r="AF28" s="796"/>
      <c r="AG28" s="797"/>
      <c r="AH28" s="795" t="s">
        <v>456</v>
      </c>
      <c r="AI28" s="796"/>
      <c r="AJ28" s="797"/>
      <c r="AK28" s="805"/>
      <c r="AL28" s="806"/>
      <c r="AM28" s="807"/>
      <c r="AN28" s="640"/>
      <c r="AO28" s="640"/>
      <c r="AP28" s="640"/>
    </row>
    <row r="29" spans="1:42" ht="18" customHeight="1">
      <c r="A29" s="767"/>
      <c r="B29" s="817"/>
      <c r="C29" s="818"/>
      <c r="D29" s="608" t="s">
        <v>69</v>
      </c>
      <c r="E29" s="609"/>
      <c r="F29" s="610"/>
      <c r="G29" s="611"/>
      <c r="H29" s="611"/>
      <c r="I29" s="611"/>
      <c r="J29" s="611"/>
      <c r="K29" s="611"/>
      <c r="L29" s="611"/>
      <c r="M29" s="611"/>
      <c r="N29" s="611"/>
      <c r="O29" s="611"/>
      <c r="P29" s="611"/>
      <c r="Q29" s="611"/>
      <c r="R29" s="611"/>
      <c r="S29" s="611"/>
      <c r="T29" s="611"/>
      <c r="U29" s="611"/>
      <c r="V29" s="611"/>
      <c r="W29" s="611"/>
      <c r="X29" s="611"/>
      <c r="Y29" s="611"/>
      <c r="Z29" s="611"/>
      <c r="AA29" s="611"/>
      <c r="AB29" s="628"/>
      <c r="AC29" s="628"/>
      <c r="AD29" s="628"/>
      <c r="AE29" s="628"/>
      <c r="AF29" s="628"/>
      <c r="AG29" s="628"/>
      <c r="AH29" s="611"/>
      <c r="AI29" s="611"/>
      <c r="AJ29" s="611"/>
      <c r="AK29" s="611"/>
      <c r="AL29" s="611"/>
      <c r="AM29" s="611"/>
      <c r="AN29" s="569"/>
      <c r="AO29" s="569"/>
      <c r="AP29" s="612"/>
    </row>
    <row r="30" spans="1:42" ht="18" customHeight="1">
      <c r="A30" s="767"/>
      <c r="B30" s="400"/>
      <c r="C30" s="402"/>
      <c r="D30" s="613" t="s">
        <v>53</v>
      </c>
      <c r="E30" s="614"/>
      <c r="F30" s="615"/>
      <c r="G30" s="604"/>
      <c r="H30" s="604"/>
      <c r="I30" s="604"/>
      <c r="J30" s="604"/>
      <c r="K30" s="604"/>
      <c r="L30" s="604"/>
      <c r="M30" s="604"/>
      <c r="N30" s="604"/>
      <c r="O30" s="604"/>
      <c r="P30" s="604"/>
      <c r="Q30" s="604"/>
      <c r="R30" s="604"/>
      <c r="S30" s="604"/>
      <c r="T30" s="604"/>
      <c r="U30" s="798"/>
      <c r="V30" s="798"/>
      <c r="W30" s="798"/>
      <c r="X30" s="798"/>
      <c r="Y30" s="604"/>
      <c r="Z30" s="604"/>
      <c r="AA30" s="604"/>
      <c r="AB30" s="616"/>
      <c r="AC30" s="616"/>
      <c r="AD30" s="616"/>
      <c r="AE30" s="617"/>
      <c r="AF30" s="617"/>
      <c r="AG30" s="617"/>
      <c r="AH30" s="604"/>
      <c r="AI30" s="604"/>
      <c r="AJ30" s="604"/>
      <c r="AK30" s="604"/>
      <c r="AL30" s="604"/>
      <c r="AM30" s="604"/>
      <c r="AN30" s="605"/>
      <c r="AO30" s="605"/>
      <c r="AP30" s="403"/>
    </row>
    <row r="31" spans="1:42" ht="18" customHeight="1">
      <c r="A31" s="767"/>
      <c r="B31" s="606">
        <f>C20</f>
        <v>0</v>
      </c>
      <c r="C31" s="607"/>
      <c r="D31" s="608" t="s">
        <v>70</v>
      </c>
      <c r="E31" s="609"/>
      <c r="F31" s="610"/>
      <c r="G31" s="611"/>
      <c r="H31" s="611"/>
      <c r="I31" s="611"/>
      <c r="J31" s="611"/>
      <c r="K31" s="611"/>
      <c r="L31" s="611"/>
      <c r="M31" s="611"/>
      <c r="N31" s="611"/>
      <c r="O31" s="611"/>
      <c r="P31" s="611"/>
      <c r="Q31" s="611"/>
      <c r="R31" s="611"/>
      <c r="S31" s="611"/>
      <c r="T31" s="611"/>
      <c r="U31" s="611"/>
      <c r="V31" s="611"/>
      <c r="W31" s="611"/>
      <c r="X31" s="611"/>
      <c r="Y31" s="611"/>
      <c r="Z31" s="611"/>
      <c r="AA31" s="611"/>
      <c r="AB31" s="628"/>
      <c r="AC31" s="628"/>
      <c r="AD31" s="628"/>
      <c r="AE31" s="628"/>
      <c r="AF31" s="628"/>
      <c r="AG31" s="628"/>
      <c r="AH31" s="611"/>
      <c r="AI31" s="611"/>
      <c r="AJ31" s="611"/>
      <c r="AK31" s="611"/>
      <c r="AL31" s="611"/>
      <c r="AM31" s="611"/>
      <c r="AN31" s="569"/>
      <c r="AO31" s="569"/>
      <c r="AP31" s="612"/>
    </row>
    <row r="32" spans="1:42" ht="18" customHeight="1">
      <c r="A32" s="767"/>
      <c r="B32" s="606"/>
      <c r="C32" s="607"/>
      <c r="D32" s="613" t="s">
        <v>53</v>
      </c>
      <c r="E32" s="614"/>
      <c r="F32" s="615"/>
      <c r="G32" s="604"/>
      <c r="H32" s="604"/>
      <c r="I32" s="604"/>
      <c r="J32" s="604"/>
      <c r="K32" s="604"/>
      <c r="L32" s="604"/>
      <c r="M32" s="604"/>
      <c r="N32" s="604"/>
      <c r="O32" s="604"/>
      <c r="P32" s="604"/>
      <c r="Q32" s="604"/>
      <c r="R32" s="604"/>
      <c r="S32" s="604"/>
      <c r="T32" s="604"/>
      <c r="U32" s="798"/>
      <c r="V32" s="798"/>
      <c r="W32" s="798"/>
      <c r="X32" s="798"/>
      <c r="Y32" s="604"/>
      <c r="Z32" s="604"/>
      <c r="AA32" s="604"/>
      <c r="AB32" s="616"/>
      <c r="AC32" s="616"/>
      <c r="AD32" s="616"/>
      <c r="AE32" s="617"/>
      <c r="AF32" s="617"/>
      <c r="AG32" s="617"/>
      <c r="AH32" s="604"/>
      <c r="AI32" s="604"/>
      <c r="AJ32" s="604"/>
      <c r="AK32" s="604"/>
      <c r="AL32" s="604"/>
      <c r="AM32" s="604"/>
      <c r="AN32" s="605"/>
      <c r="AO32" s="605"/>
      <c r="AP32" s="403"/>
    </row>
    <row r="33" spans="1:42" ht="18" customHeight="1">
      <c r="A33" s="767"/>
      <c r="B33" s="624">
        <f>C22</f>
        <v>0</v>
      </c>
      <c r="C33" s="625"/>
      <c r="D33" s="608" t="s">
        <v>71</v>
      </c>
      <c r="E33" s="609"/>
      <c r="F33" s="610"/>
      <c r="G33" s="611"/>
      <c r="H33" s="611"/>
      <c r="I33" s="611"/>
      <c r="J33" s="611"/>
      <c r="K33" s="611"/>
      <c r="L33" s="611"/>
      <c r="M33" s="611"/>
      <c r="N33" s="611"/>
      <c r="O33" s="611"/>
      <c r="P33" s="611"/>
      <c r="Q33" s="611"/>
      <c r="R33" s="611"/>
      <c r="S33" s="611"/>
      <c r="T33" s="611"/>
      <c r="U33" s="611"/>
      <c r="V33" s="611"/>
      <c r="W33" s="611"/>
      <c r="X33" s="611"/>
      <c r="Y33" s="611"/>
      <c r="Z33" s="611"/>
      <c r="AA33" s="611"/>
      <c r="AB33" s="628"/>
      <c r="AC33" s="628"/>
      <c r="AD33" s="628"/>
      <c r="AE33" s="628"/>
      <c r="AF33" s="628"/>
      <c r="AG33" s="628"/>
      <c r="AH33" s="611"/>
      <c r="AI33" s="611"/>
      <c r="AJ33" s="611"/>
      <c r="AK33" s="611"/>
      <c r="AL33" s="611"/>
      <c r="AM33" s="611"/>
      <c r="AN33" s="569"/>
      <c r="AO33" s="569"/>
      <c r="AP33" s="612"/>
    </row>
    <row r="34" spans="1:42" ht="18" customHeight="1" thickBot="1">
      <c r="A34" s="768"/>
      <c r="B34" s="626"/>
      <c r="C34" s="627"/>
      <c r="D34" s="621" t="s">
        <v>53</v>
      </c>
      <c r="E34" s="622"/>
      <c r="F34" s="623"/>
      <c r="G34" s="618"/>
      <c r="H34" s="618"/>
      <c r="I34" s="618"/>
      <c r="J34" s="618"/>
      <c r="K34" s="618"/>
      <c r="L34" s="618"/>
      <c r="M34" s="618"/>
      <c r="N34" s="618"/>
      <c r="O34" s="618"/>
      <c r="P34" s="618"/>
      <c r="Q34" s="618"/>
      <c r="R34" s="618"/>
      <c r="S34" s="618"/>
      <c r="T34" s="618"/>
      <c r="U34" s="824"/>
      <c r="V34" s="824"/>
      <c r="W34" s="824"/>
      <c r="X34" s="824"/>
      <c r="Y34" s="618"/>
      <c r="Z34" s="618"/>
      <c r="AA34" s="618"/>
      <c r="AB34" s="825"/>
      <c r="AC34" s="825"/>
      <c r="AD34" s="825"/>
      <c r="AE34" s="826"/>
      <c r="AF34" s="826"/>
      <c r="AG34" s="826"/>
      <c r="AH34" s="618"/>
      <c r="AI34" s="618"/>
      <c r="AJ34" s="618"/>
      <c r="AK34" s="618"/>
      <c r="AL34" s="618"/>
      <c r="AM34" s="618"/>
      <c r="AN34" s="619"/>
      <c r="AO34" s="619"/>
      <c r="AP34" s="620"/>
    </row>
    <row r="35" spans="1:42" ht="15" customHeight="1">
      <c r="A35" s="828" t="s">
        <v>72</v>
      </c>
      <c r="B35" s="829"/>
      <c r="C35" s="829"/>
      <c r="D35" s="829"/>
      <c r="E35" s="829"/>
      <c r="F35" s="829"/>
      <c r="G35" s="829"/>
      <c r="H35" s="829"/>
      <c r="I35" s="829"/>
      <c r="J35" s="829"/>
      <c r="K35" s="829"/>
      <c r="L35" s="829"/>
      <c r="M35" s="829"/>
      <c r="N35" s="829"/>
      <c r="O35" s="829"/>
      <c r="P35" s="829"/>
      <c r="Q35" s="829"/>
      <c r="R35" s="829"/>
      <c r="S35" s="829"/>
      <c r="T35" s="829"/>
      <c r="U35" s="829"/>
      <c r="V35" s="829"/>
      <c r="W35" s="829"/>
      <c r="X35" s="829"/>
      <c r="Y35" s="829"/>
      <c r="Z35" s="829"/>
      <c r="AA35" s="829"/>
      <c r="AB35" s="829"/>
      <c r="AC35" s="829"/>
      <c r="AD35" s="829"/>
      <c r="AE35" s="829"/>
      <c r="AF35" s="829"/>
      <c r="AG35" s="829"/>
      <c r="AH35" s="829"/>
      <c r="AI35" s="829"/>
      <c r="AJ35" s="829"/>
      <c r="AK35" s="829"/>
      <c r="AL35" s="829"/>
      <c r="AM35" s="829"/>
      <c r="AN35" s="829"/>
      <c r="AO35" s="829"/>
      <c r="AP35" s="830"/>
    </row>
    <row r="36" spans="1:42" s="14" customFormat="1" ht="18" customHeight="1">
      <c r="A36" s="597" t="s">
        <v>73</v>
      </c>
      <c r="B36" s="597"/>
      <c r="C36" s="597"/>
      <c r="D36" s="597"/>
      <c r="E36" s="597"/>
      <c r="F36" s="597"/>
      <c r="G36" s="597"/>
      <c r="H36" s="597"/>
      <c r="I36" s="597"/>
      <c r="J36" s="597"/>
      <c r="K36" s="597"/>
      <c r="L36" s="597"/>
      <c r="M36" s="597"/>
      <c r="N36" s="597"/>
      <c r="O36" s="597"/>
      <c r="P36" s="597"/>
      <c r="Q36" s="597"/>
      <c r="R36" s="597"/>
      <c r="S36" s="597"/>
      <c r="T36" s="597"/>
      <c r="U36" s="597"/>
      <c r="V36" s="597"/>
      <c r="W36" s="597"/>
      <c r="X36" s="597"/>
      <c r="Y36" s="597"/>
      <c r="Z36" s="597"/>
      <c r="AA36" s="597"/>
      <c r="AB36" s="597"/>
      <c r="AC36" s="597"/>
      <c r="AD36" s="597"/>
      <c r="AE36" s="597"/>
      <c r="AF36" s="597"/>
      <c r="AG36" s="597"/>
      <c r="AH36" s="597"/>
      <c r="AI36" s="597"/>
      <c r="AJ36" s="597"/>
      <c r="AK36" s="597"/>
      <c r="AL36" s="597"/>
      <c r="AM36" s="597"/>
      <c r="AN36" s="597"/>
      <c r="AO36" s="597"/>
      <c r="AP36" s="597"/>
    </row>
    <row r="37" spans="1:42" s="14" customFormat="1" ht="18" customHeight="1">
      <c r="A37" s="597" t="s">
        <v>74</v>
      </c>
      <c r="B37" s="597"/>
      <c r="C37" s="597"/>
      <c r="D37" s="597"/>
      <c r="E37" s="597"/>
      <c r="F37" s="597"/>
      <c r="G37" s="597"/>
      <c r="H37" s="597"/>
      <c r="I37" s="597"/>
      <c r="J37" s="597"/>
      <c r="K37" s="597"/>
      <c r="L37" s="597"/>
      <c r="M37" s="597"/>
      <c r="N37" s="597"/>
      <c r="O37" s="597"/>
      <c r="P37" s="597"/>
      <c r="Q37" s="597"/>
      <c r="R37" s="597"/>
      <c r="S37" s="597"/>
      <c r="T37" s="597"/>
      <c r="U37" s="597"/>
      <c r="V37" s="597"/>
      <c r="W37" s="597"/>
      <c r="X37" s="597"/>
      <c r="Y37" s="597"/>
      <c r="Z37" s="597"/>
      <c r="AA37" s="597"/>
      <c r="AB37" s="597"/>
      <c r="AC37" s="597"/>
      <c r="AD37" s="597"/>
      <c r="AE37" s="597"/>
      <c r="AF37" s="597"/>
      <c r="AG37" s="597"/>
      <c r="AH37" s="597"/>
      <c r="AI37" s="58"/>
      <c r="AJ37" s="58"/>
      <c r="AK37" s="58"/>
      <c r="AL37" s="58"/>
      <c r="AM37" s="58"/>
      <c r="AN37" s="58"/>
      <c r="AO37" s="58"/>
      <c r="AP37" s="58"/>
    </row>
    <row r="38" spans="1:42" ht="48.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row>
    <row r="39" spans="1:42" s="14" customFormat="1" ht="18" customHeight="1">
      <c r="A39" s="597" t="s">
        <v>75</v>
      </c>
      <c r="B39" s="597"/>
      <c r="C39" s="597"/>
      <c r="D39" s="597"/>
      <c r="E39" s="597"/>
      <c r="F39" s="597"/>
      <c r="G39" s="597"/>
      <c r="H39" s="597"/>
      <c r="I39" s="597"/>
      <c r="J39" s="597"/>
      <c r="K39" s="597"/>
      <c r="L39" s="597"/>
      <c r="M39" s="597"/>
      <c r="N39" s="597"/>
      <c r="O39" s="597"/>
      <c r="P39" s="597"/>
      <c r="Q39" s="597"/>
      <c r="R39" s="597"/>
      <c r="S39" s="597"/>
      <c r="T39" s="597"/>
      <c r="U39" s="597"/>
      <c r="V39" s="597"/>
      <c r="W39" s="597"/>
      <c r="X39" s="597"/>
      <c r="Y39" s="597"/>
      <c r="Z39" s="597"/>
      <c r="AA39" s="597"/>
      <c r="AB39" s="597"/>
      <c r="AC39" s="597"/>
      <c r="AD39" s="597"/>
      <c r="AE39" s="597"/>
      <c r="AF39" s="597"/>
      <c r="AG39" s="597"/>
      <c r="AH39" s="597"/>
      <c r="AI39" s="597"/>
      <c r="AJ39" s="597"/>
      <c r="AK39" s="597"/>
      <c r="AL39" s="597"/>
      <c r="AM39" s="597"/>
      <c r="AN39" s="597"/>
      <c r="AO39" s="597"/>
      <c r="AP39" s="597"/>
    </row>
    <row r="40" spans="1:42" s="14" customFormat="1" ht="18" customHeight="1">
      <c r="A40" s="600" t="s">
        <v>76</v>
      </c>
      <c r="B40" s="600"/>
      <c r="C40" s="600"/>
      <c r="D40" s="600"/>
      <c r="E40" s="600"/>
      <c r="F40" s="600"/>
      <c r="G40" s="600"/>
      <c r="H40" s="600"/>
      <c r="I40" s="600"/>
      <c r="J40" s="600"/>
      <c r="K40" s="600"/>
      <c r="L40" s="600"/>
      <c r="M40" s="600"/>
      <c r="N40" s="600"/>
      <c r="O40" s="600"/>
      <c r="P40" s="600"/>
      <c r="Q40" s="600"/>
      <c r="R40" s="600"/>
      <c r="S40" s="600"/>
      <c r="T40" s="600"/>
      <c r="U40" s="600"/>
      <c r="V40" s="600"/>
      <c r="W40" s="600"/>
      <c r="X40" s="600"/>
      <c r="Y40" s="600"/>
      <c r="Z40" s="600"/>
      <c r="AA40" s="600"/>
      <c r="AB40" s="600"/>
      <c r="AC40" s="600"/>
      <c r="AD40" s="600"/>
      <c r="AE40" s="600"/>
      <c r="AF40" s="600"/>
      <c r="AG40" s="600"/>
      <c r="AH40" s="600"/>
      <c r="AI40" s="58"/>
      <c r="AJ40" s="58"/>
      <c r="AK40" s="58"/>
      <c r="AL40" s="58"/>
      <c r="AM40" s="58"/>
      <c r="AN40" s="58"/>
      <c r="AO40" s="58"/>
      <c r="AP40" s="58"/>
    </row>
    <row r="41" spans="1:42" s="14" customFormat="1" ht="18" customHeight="1">
      <c r="A41" s="601" t="s">
        <v>454</v>
      </c>
      <c r="B41" s="602"/>
      <c r="C41" s="602"/>
      <c r="D41" s="602"/>
      <c r="E41" s="602"/>
      <c r="F41" s="602"/>
      <c r="G41" s="602"/>
      <c r="H41" s="602"/>
      <c r="I41" s="602"/>
      <c r="J41" s="602"/>
      <c r="K41" s="602"/>
      <c r="L41" s="602"/>
      <c r="M41" s="602"/>
      <c r="N41" s="602"/>
      <c r="O41" s="602"/>
      <c r="P41" s="602"/>
      <c r="Q41" s="602"/>
      <c r="R41" s="602"/>
      <c r="S41" s="602"/>
      <c r="T41" s="602"/>
      <c r="U41" s="602"/>
      <c r="V41" s="602"/>
      <c r="W41" s="602"/>
      <c r="X41" s="602"/>
      <c r="Y41" s="602"/>
      <c r="Z41" s="602"/>
      <c r="AA41" s="602"/>
      <c r="AB41" s="602"/>
      <c r="AC41" s="602"/>
      <c r="AD41" s="602"/>
      <c r="AE41" s="602"/>
      <c r="AF41" s="602"/>
      <c r="AG41" s="602"/>
      <c r="AH41" s="602"/>
      <c r="AI41" s="602"/>
      <c r="AJ41" s="602"/>
      <c r="AK41" s="602"/>
      <c r="AL41" s="602"/>
      <c r="AM41" s="602"/>
      <c r="AN41" s="602"/>
      <c r="AO41" s="602"/>
      <c r="AP41" s="602"/>
    </row>
    <row r="42" spans="1:42" s="14" customFormat="1" ht="18" customHeight="1">
      <c r="A42" s="603" t="s">
        <v>77</v>
      </c>
      <c r="B42" s="600"/>
      <c r="C42" s="600"/>
      <c r="D42" s="600"/>
      <c r="E42" s="600"/>
      <c r="F42" s="600"/>
      <c r="G42" s="600"/>
      <c r="H42" s="600"/>
      <c r="I42" s="600"/>
      <c r="J42" s="600"/>
      <c r="K42" s="600"/>
      <c r="L42" s="600"/>
      <c r="M42" s="600"/>
      <c r="N42" s="600"/>
      <c r="O42" s="600"/>
      <c r="P42" s="600"/>
      <c r="Q42" s="600"/>
      <c r="R42" s="600"/>
      <c r="S42" s="600"/>
      <c r="T42" s="600"/>
      <c r="U42" s="600"/>
      <c r="V42" s="600"/>
      <c r="W42" s="600"/>
      <c r="X42" s="600"/>
      <c r="Y42" s="600"/>
      <c r="Z42" s="600"/>
      <c r="AA42" s="600"/>
      <c r="AB42" s="600"/>
      <c r="AC42" s="600"/>
      <c r="AD42" s="600"/>
      <c r="AE42" s="600"/>
      <c r="AF42" s="600"/>
      <c r="AG42" s="600"/>
      <c r="AH42" s="600"/>
      <c r="AI42" s="600"/>
      <c r="AJ42" s="600"/>
      <c r="AK42" s="600"/>
      <c r="AL42" s="600"/>
      <c r="AM42" s="600"/>
      <c r="AN42" s="600"/>
      <c r="AO42" s="600"/>
      <c r="AP42" s="600"/>
    </row>
    <row r="43" spans="1:42" s="14" customFormat="1" ht="18" customHeight="1">
      <c r="A43" s="597" t="s">
        <v>78</v>
      </c>
      <c r="B43" s="597"/>
      <c r="C43" s="597"/>
      <c r="D43" s="597"/>
      <c r="E43" s="597"/>
      <c r="F43" s="597"/>
      <c r="G43" s="597"/>
      <c r="H43" s="597"/>
      <c r="I43" s="597"/>
      <c r="J43" s="597"/>
      <c r="K43" s="597"/>
      <c r="L43" s="597"/>
      <c r="M43" s="597"/>
      <c r="N43" s="597"/>
      <c r="O43" s="597"/>
      <c r="P43" s="597"/>
      <c r="Q43" s="597"/>
      <c r="R43" s="597"/>
      <c r="S43" s="597"/>
      <c r="T43" s="597"/>
      <c r="U43" s="597"/>
      <c r="V43" s="597"/>
      <c r="W43" s="597"/>
      <c r="X43" s="597"/>
      <c r="Y43" s="597"/>
      <c r="Z43" s="597"/>
      <c r="AA43" s="597"/>
      <c r="AB43" s="597"/>
      <c r="AC43" s="597"/>
      <c r="AD43" s="597"/>
      <c r="AE43" s="597"/>
      <c r="AF43" s="597"/>
      <c r="AG43" s="597"/>
      <c r="AH43" s="597"/>
      <c r="AI43" s="58"/>
      <c r="AJ43" s="58"/>
      <c r="AK43" s="58"/>
      <c r="AL43" s="58"/>
      <c r="AM43" s="58"/>
      <c r="AN43" s="58"/>
      <c r="AO43" s="58"/>
      <c r="AP43" s="58"/>
    </row>
    <row r="44" spans="1:42" s="14" customFormat="1" ht="18" customHeight="1">
      <c r="A44" s="597" t="s">
        <v>457</v>
      </c>
      <c r="B44" s="597"/>
      <c r="C44" s="597"/>
      <c r="D44" s="597"/>
      <c r="E44" s="597"/>
      <c r="F44" s="597"/>
      <c r="G44" s="597"/>
      <c r="H44" s="597"/>
      <c r="I44" s="597"/>
      <c r="J44" s="597"/>
      <c r="K44" s="597"/>
      <c r="L44" s="597"/>
      <c r="M44" s="597"/>
      <c r="N44" s="597"/>
      <c r="O44" s="597"/>
      <c r="P44" s="597"/>
      <c r="Q44" s="597"/>
      <c r="R44" s="597"/>
      <c r="S44" s="597"/>
      <c r="T44" s="597"/>
      <c r="U44" s="597"/>
      <c r="V44" s="597"/>
      <c r="W44" s="597"/>
      <c r="X44" s="597"/>
      <c r="Y44" s="597"/>
      <c r="Z44" s="597"/>
      <c r="AA44" s="597"/>
      <c r="AB44" s="597"/>
      <c r="AC44" s="597"/>
      <c r="AD44" s="597"/>
      <c r="AE44" s="597"/>
      <c r="AF44" s="597"/>
      <c r="AG44" s="597"/>
      <c r="AH44" s="597"/>
      <c r="AI44" s="58"/>
      <c r="AJ44" s="58"/>
      <c r="AK44" s="58"/>
      <c r="AL44" s="58"/>
      <c r="AM44" s="58"/>
      <c r="AN44" s="58"/>
      <c r="AO44" s="58"/>
      <c r="AP44" s="58"/>
    </row>
    <row r="45" spans="1:42" s="14" customFormat="1" ht="18" customHeight="1">
      <c r="A45" s="597" t="s">
        <v>458</v>
      </c>
      <c r="B45" s="597"/>
      <c r="C45" s="597"/>
      <c r="D45" s="597"/>
      <c r="E45" s="597"/>
      <c r="F45" s="597"/>
      <c r="G45" s="597"/>
      <c r="H45" s="597"/>
      <c r="I45" s="597"/>
      <c r="J45" s="597"/>
      <c r="K45" s="597"/>
      <c r="L45" s="597"/>
      <c r="M45" s="597"/>
      <c r="N45" s="597"/>
      <c r="O45" s="597"/>
      <c r="P45" s="597"/>
      <c r="Q45" s="597"/>
      <c r="R45" s="597"/>
      <c r="S45" s="597"/>
      <c r="T45" s="597"/>
      <c r="U45" s="597"/>
      <c r="V45" s="597"/>
      <c r="W45" s="597"/>
      <c r="X45" s="597"/>
      <c r="Y45" s="597"/>
      <c r="Z45" s="597"/>
      <c r="AA45" s="597"/>
      <c r="AB45" s="597"/>
      <c r="AC45" s="597"/>
      <c r="AD45" s="597"/>
      <c r="AE45" s="597"/>
      <c r="AF45" s="597"/>
      <c r="AG45" s="597"/>
      <c r="AH45" s="597"/>
      <c r="AI45" s="597"/>
      <c r="AJ45" s="597"/>
      <c r="AK45" s="597"/>
      <c r="AL45" s="597"/>
      <c r="AM45" s="597"/>
      <c r="AN45" s="597"/>
      <c r="AO45" s="597"/>
      <c r="AP45" s="597"/>
    </row>
    <row r="46" spans="1:42" s="14" customFormat="1" ht="18" customHeight="1">
      <c r="A46" s="597" t="s">
        <v>79</v>
      </c>
      <c r="B46" s="597"/>
      <c r="C46" s="597"/>
      <c r="D46" s="597"/>
      <c r="E46" s="597"/>
      <c r="F46" s="597"/>
      <c r="G46" s="597"/>
      <c r="H46" s="597"/>
      <c r="I46" s="597"/>
      <c r="J46" s="597"/>
      <c r="K46" s="597"/>
      <c r="L46" s="597"/>
      <c r="M46" s="597"/>
      <c r="N46" s="597"/>
      <c r="O46" s="597"/>
      <c r="P46" s="597"/>
      <c r="Q46" s="597"/>
      <c r="R46" s="597"/>
      <c r="S46" s="597"/>
      <c r="T46" s="597"/>
      <c r="U46" s="597"/>
      <c r="V46" s="597"/>
      <c r="W46" s="597"/>
      <c r="X46" s="597"/>
      <c r="Y46" s="597"/>
      <c r="Z46" s="597"/>
      <c r="AA46" s="597"/>
      <c r="AB46" s="597"/>
      <c r="AC46" s="597"/>
      <c r="AD46" s="597"/>
      <c r="AE46" s="597"/>
      <c r="AF46" s="597"/>
      <c r="AG46" s="597"/>
      <c r="AH46" s="597"/>
      <c r="AI46" s="58"/>
      <c r="AJ46" s="58"/>
      <c r="AK46" s="58"/>
      <c r="AL46" s="58"/>
      <c r="AM46" s="58"/>
      <c r="AN46" s="58"/>
      <c r="AO46" s="58"/>
      <c r="AP46" s="58"/>
    </row>
    <row r="47" spans="1:42" ht="4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row>
    <row r="48" spans="1:42" ht="18" customHeight="1">
      <c r="A48" s="598" t="s">
        <v>80</v>
      </c>
      <c r="B48" s="598"/>
      <c r="C48" s="598"/>
      <c r="D48" s="598"/>
      <c r="E48" s="598"/>
      <c r="F48" s="598"/>
      <c r="G48" s="598"/>
      <c r="H48" s="598"/>
      <c r="I48" s="598"/>
      <c r="J48" s="598"/>
      <c r="K48" s="598"/>
      <c r="L48" s="598"/>
      <c r="M48" s="598"/>
      <c r="N48" s="598"/>
      <c r="O48" s="598"/>
      <c r="P48" s="598"/>
      <c r="Q48" s="598"/>
      <c r="R48" s="598"/>
      <c r="S48" s="598"/>
      <c r="T48" s="598"/>
      <c r="U48" s="598"/>
      <c r="V48" s="598"/>
      <c r="W48" s="598"/>
      <c r="X48" s="598"/>
      <c r="Y48" s="598"/>
      <c r="Z48" s="598"/>
      <c r="AA48" s="598"/>
      <c r="AB48" s="598"/>
      <c r="AC48" s="598"/>
      <c r="AD48" s="598"/>
      <c r="AE48" s="598"/>
      <c r="AF48" s="598"/>
      <c r="AG48" s="598"/>
      <c r="AH48" s="598"/>
      <c r="AI48" s="598"/>
      <c r="AJ48" s="598"/>
      <c r="AK48" s="598"/>
      <c r="AL48" s="598"/>
      <c r="AM48" s="598"/>
      <c r="AN48" s="598"/>
      <c r="AO48" s="598"/>
      <c r="AP48" s="598"/>
    </row>
    <row r="49" spans="1:42" ht="18" customHeight="1">
      <c r="A49" s="599" t="s">
        <v>81</v>
      </c>
      <c r="B49" s="599"/>
      <c r="C49" s="599"/>
      <c r="D49" s="599"/>
      <c r="E49" s="599"/>
      <c r="F49" s="599"/>
      <c r="G49" s="599"/>
      <c r="H49" s="599"/>
      <c r="I49" s="599"/>
      <c r="J49" s="599"/>
      <c r="K49" s="599"/>
      <c r="L49" s="599"/>
      <c r="M49" s="599"/>
      <c r="N49" s="599"/>
      <c r="O49" s="599"/>
      <c r="P49" s="599"/>
      <c r="Q49" s="599"/>
      <c r="R49" s="599"/>
      <c r="S49" s="599"/>
      <c r="T49" s="599"/>
      <c r="U49" s="599"/>
      <c r="V49" s="599"/>
      <c r="W49" s="599"/>
      <c r="X49" s="599"/>
      <c r="Y49" s="599"/>
      <c r="Z49" s="599"/>
      <c r="AA49" s="599"/>
      <c r="AB49" s="599"/>
      <c r="AC49" s="599"/>
      <c r="AD49" s="599"/>
      <c r="AE49" s="599"/>
      <c r="AF49" s="599"/>
      <c r="AG49" s="599"/>
      <c r="AH49" s="599"/>
      <c r="AI49" s="599"/>
      <c r="AJ49" s="599"/>
      <c r="AK49" s="599"/>
      <c r="AL49" s="599"/>
      <c r="AM49" s="599"/>
      <c r="AN49" s="599"/>
      <c r="AO49" s="599"/>
      <c r="AP49" s="599"/>
    </row>
    <row r="50" spans="1:42" ht="18"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row>
    <row r="51" spans="1:42" ht="18" customHeight="1">
      <c r="A51" s="743" t="s">
        <v>82</v>
      </c>
      <c r="B51" s="743"/>
      <c r="C51" s="743"/>
      <c r="D51" s="743"/>
      <c r="E51" s="743"/>
      <c r="F51" s="743"/>
      <c r="G51" s="743"/>
      <c r="H51" s="743"/>
      <c r="I51" s="743"/>
      <c r="J51" s="743"/>
      <c r="K51" s="743"/>
      <c r="L51" s="743"/>
      <c r="M51" s="743"/>
      <c r="N51" s="743"/>
      <c r="O51" s="743"/>
      <c r="P51" s="743"/>
      <c r="Q51" s="743"/>
      <c r="R51" s="743"/>
      <c r="S51" s="743"/>
      <c r="T51" s="743"/>
      <c r="U51" s="743"/>
      <c r="V51" s="743"/>
      <c r="W51" s="743"/>
      <c r="X51" s="743"/>
      <c r="Y51" s="743"/>
      <c r="Z51" s="743"/>
      <c r="AA51" s="743"/>
      <c r="AB51" s="743"/>
      <c r="AC51" s="743"/>
      <c r="AD51" s="743"/>
      <c r="AE51" s="743"/>
      <c r="AF51" s="743"/>
      <c r="AG51" s="743"/>
      <c r="AH51" s="743"/>
      <c r="AI51" s="743"/>
      <c r="AJ51" s="743"/>
      <c r="AK51" s="743"/>
      <c r="AL51" s="743"/>
      <c r="AM51" s="743"/>
      <c r="AN51" s="743"/>
      <c r="AO51" s="743"/>
      <c r="AP51" s="743"/>
    </row>
    <row r="52" spans="1:42" s="14" customFormat="1" ht="18" customHeight="1">
      <c r="A52" s="525" t="s">
        <v>83</v>
      </c>
      <c r="B52" s="526"/>
      <c r="C52" s="526"/>
      <c r="D52" s="526"/>
      <c r="E52" s="526"/>
      <c r="F52" s="526"/>
      <c r="G52" s="526" t="s">
        <v>84</v>
      </c>
      <c r="H52" s="526"/>
      <c r="I52" s="526"/>
      <c r="J52" s="526"/>
      <c r="K52" s="526"/>
      <c r="L52" s="526"/>
      <c r="M52" s="526"/>
      <c r="N52" s="526"/>
      <c r="O52" s="526"/>
      <c r="P52" s="526"/>
      <c r="Q52" s="526"/>
      <c r="R52" s="526"/>
      <c r="S52" s="526"/>
      <c r="T52" s="526"/>
      <c r="U52" s="526"/>
      <c r="V52" s="526"/>
      <c r="W52" s="526"/>
      <c r="X52" s="527" t="s">
        <v>85</v>
      </c>
      <c r="Y52" s="527"/>
      <c r="Z52" s="527"/>
      <c r="AA52" s="527"/>
      <c r="AB52" s="527" t="s">
        <v>86</v>
      </c>
      <c r="AC52" s="527"/>
      <c r="AD52" s="527"/>
      <c r="AE52" s="527"/>
      <c r="AF52" s="527"/>
      <c r="AG52" s="527"/>
      <c r="AH52" s="527"/>
      <c r="AI52" s="527" t="s">
        <v>87</v>
      </c>
      <c r="AJ52" s="527"/>
      <c r="AK52" s="527"/>
      <c r="AL52" s="527"/>
      <c r="AM52" s="527" t="s">
        <v>88</v>
      </c>
      <c r="AN52" s="527"/>
      <c r="AO52" s="527"/>
      <c r="AP52" s="528"/>
    </row>
    <row r="53" spans="1:42" s="14" customFormat="1" ht="18" customHeight="1">
      <c r="A53" s="593" t="s">
        <v>89</v>
      </c>
      <c r="B53" s="591"/>
      <c r="C53" s="535" t="s">
        <v>90</v>
      </c>
      <c r="D53" s="535"/>
      <c r="E53" s="535"/>
      <c r="F53" s="535"/>
      <c r="G53" s="591" t="s">
        <v>91</v>
      </c>
      <c r="H53" s="591"/>
      <c r="I53" s="591"/>
      <c r="J53" s="591"/>
      <c r="K53" s="591"/>
      <c r="L53" s="591"/>
      <c r="M53" s="591"/>
      <c r="N53" s="591"/>
      <c r="O53" s="591"/>
      <c r="P53" s="591"/>
      <c r="Q53" s="591" t="s">
        <v>92</v>
      </c>
      <c r="R53" s="591"/>
      <c r="S53" s="591"/>
      <c r="T53" s="591"/>
      <c r="U53" s="591"/>
      <c r="V53" s="591"/>
      <c r="W53" s="591"/>
      <c r="X53" s="568" t="s">
        <v>93</v>
      </c>
      <c r="Y53" s="568"/>
      <c r="Z53" s="568"/>
      <c r="AA53" s="568"/>
      <c r="AB53" s="569"/>
      <c r="AC53" s="569"/>
      <c r="AD53" s="569"/>
      <c r="AE53" s="569"/>
      <c r="AF53" s="569"/>
      <c r="AG53" s="569"/>
      <c r="AH53" s="569"/>
      <c r="AI53" s="568" t="s">
        <v>94</v>
      </c>
      <c r="AJ53" s="568"/>
      <c r="AK53" s="568"/>
      <c r="AL53" s="568"/>
      <c r="AM53" s="573"/>
      <c r="AN53" s="573"/>
      <c r="AO53" s="573"/>
      <c r="AP53" s="574"/>
    </row>
    <row r="54" spans="1:42" s="14" customFormat="1" ht="18" customHeight="1">
      <c r="A54" s="594"/>
      <c r="B54" s="446"/>
      <c r="C54" s="472"/>
      <c r="D54" s="472"/>
      <c r="E54" s="472"/>
      <c r="F54" s="472"/>
      <c r="G54" s="446"/>
      <c r="H54" s="446"/>
      <c r="I54" s="446"/>
      <c r="J54" s="446"/>
      <c r="K54" s="446"/>
      <c r="L54" s="446"/>
      <c r="M54" s="446"/>
      <c r="N54" s="446"/>
      <c r="O54" s="446"/>
      <c r="P54" s="446"/>
      <c r="Q54" s="446" t="s">
        <v>95</v>
      </c>
      <c r="R54" s="446"/>
      <c r="S54" s="446"/>
      <c r="T54" s="446"/>
      <c r="U54" s="446"/>
      <c r="V54" s="446"/>
      <c r="W54" s="446"/>
      <c r="X54" s="485" t="s">
        <v>93</v>
      </c>
      <c r="Y54" s="485"/>
      <c r="Z54" s="485"/>
      <c r="AA54" s="485"/>
      <c r="AB54" s="548"/>
      <c r="AC54" s="548"/>
      <c r="AD54" s="548"/>
      <c r="AE54" s="548"/>
      <c r="AF54" s="548"/>
      <c r="AG54" s="548"/>
      <c r="AH54" s="548"/>
      <c r="AI54" s="485" t="s">
        <v>96</v>
      </c>
      <c r="AJ54" s="485"/>
      <c r="AK54" s="485"/>
      <c r="AL54" s="485"/>
      <c r="AM54" s="512"/>
      <c r="AN54" s="512"/>
      <c r="AO54" s="512"/>
      <c r="AP54" s="523"/>
    </row>
    <row r="55" spans="1:42" s="14" customFormat="1" ht="18" customHeight="1">
      <c r="A55" s="594"/>
      <c r="B55" s="446"/>
      <c r="C55" s="472"/>
      <c r="D55" s="472"/>
      <c r="E55" s="472"/>
      <c r="F55" s="472"/>
      <c r="G55" s="472" t="s">
        <v>97</v>
      </c>
      <c r="H55" s="472"/>
      <c r="I55" s="472"/>
      <c r="J55" s="472"/>
      <c r="K55" s="472"/>
      <c r="L55" s="472"/>
      <c r="M55" s="472"/>
      <c r="N55" s="472"/>
      <c r="O55" s="472"/>
      <c r="P55" s="472"/>
      <c r="Q55" s="446" t="s">
        <v>92</v>
      </c>
      <c r="R55" s="446"/>
      <c r="S55" s="446"/>
      <c r="T55" s="446"/>
      <c r="U55" s="446"/>
      <c r="V55" s="446"/>
      <c r="W55" s="446"/>
      <c r="X55" s="485" t="s">
        <v>98</v>
      </c>
      <c r="Y55" s="485"/>
      <c r="Z55" s="485"/>
      <c r="AA55" s="485"/>
      <c r="AB55" s="548"/>
      <c r="AC55" s="548"/>
      <c r="AD55" s="548"/>
      <c r="AE55" s="548"/>
      <c r="AF55" s="548"/>
      <c r="AG55" s="548"/>
      <c r="AH55" s="548"/>
      <c r="AI55" s="485" t="s">
        <v>94</v>
      </c>
      <c r="AJ55" s="485"/>
      <c r="AK55" s="485"/>
      <c r="AL55" s="485"/>
      <c r="AM55" s="512"/>
      <c r="AN55" s="512"/>
      <c r="AO55" s="512"/>
      <c r="AP55" s="523"/>
    </row>
    <row r="56" spans="1:42" s="14" customFormat="1" ht="18" customHeight="1">
      <c r="A56" s="594"/>
      <c r="B56" s="446"/>
      <c r="C56" s="472"/>
      <c r="D56" s="472"/>
      <c r="E56" s="472"/>
      <c r="F56" s="472"/>
      <c r="G56" s="472"/>
      <c r="H56" s="472"/>
      <c r="I56" s="472"/>
      <c r="J56" s="472"/>
      <c r="K56" s="472"/>
      <c r="L56" s="472"/>
      <c r="M56" s="472"/>
      <c r="N56" s="472"/>
      <c r="O56" s="472"/>
      <c r="P56" s="472"/>
      <c r="Q56" s="446" t="s">
        <v>99</v>
      </c>
      <c r="R56" s="446"/>
      <c r="S56" s="446"/>
      <c r="T56" s="446"/>
      <c r="U56" s="446"/>
      <c r="V56" s="446"/>
      <c r="W56" s="446"/>
      <c r="X56" s="485" t="s">
        <v>93</v>
      </c>
      <c r="Y56" s="485"/>
      <c r="Z56" s="485"/>
      <c r="AA56" s="485"/>
      <c r="AB56" s="548"/>
      <c r="AC56" s="548"/>
      <c r="AD56" s="548"/>
      <c r="AE56" s="548"/>
      <c r="AF56" s="548"/>
      <c r="AG56" s="548"/>
      <c r="AH56" s="548"/>
      <c r="AI56" s="485" t="s">
        <v>94</v>
      </c>
      <c r="AJ56" s="485"/>
      <c r="AK56" s="485"/>
      <c r="AL56" s="485"/>
      <c r="AM56" s="512"/>
      <c r="AN56" s="512"/>
      <c r="AO56" s="512"/>
      <c r="AP56" s="523"/>
    </row>
    <row r="57" spans="1:42" s="14" customFormat="1" ht="18" customHeight="1">
      <c r="A57" s="595"/>
      <c r="B57" s="596"/>
      <c r="C57" s="577"/>
      <c r="D57" s="577"/>
      <c r="E57" s="577"/>
      <c r="F57" s="577"/>
      <c r="G57" s="578" t="s">
        <v>100</v>
      </c>
      <c r="H57" s="578"/>
      <c r="I57" s="578"/>
      <c r="J57" s="578"/>
      <c r="K57" s="578"/>
      <c r="L57" s="578"/>
      <c r="M57" s="578"/>
      <c r="N57" s="578"/>
      <c r="O57" s="578"/>
      <c r="P57" s="578"/>
      <c r="Q57" s="578"/>
      <c r="R57" s="578"/>
      <c r="S57" s="578"/>
      <c r="T57" s="578"/>
      <c r="U57" s="578"/>
      <c r="V57" s="578"/>
      <c r="W57" s="578"/>
      <c r="X57" s="579"/>
      <c r="Y57" s="579"/>
      <c r="Z57" s="579"/>
      <c r="AA57" s="579"/>
      <c r="AB57" s="581">
        <f>SUM(AB53:AH56)</f>
        <v>0</v>
      </c>
      <c r="AC57" s="581"/>
      <c r="AD57" s="581"/>
      <c r="AE57" s="581"/>
      <c r="AF57" s="581"/>
      <c r="AG57" s="581"/>
      <c r="AH57" s="581"/>
      <c r="AI57" s="579"/>
      <c r="AJ57" s="579"/>
      <c r="AK57" s="579"/>
      <c r="AL57" s="579"/>
      <c r="AM57" s="581">
        <f>SUM(AM53:AP56)</f>
        <v>0</v>
      </c>
      <c r="AN57" s="581"/>
      <c r="AO57" s="581"/>
      <c r="AP57" s="582"/>
    </row>
    <row r="58" spans="1:42" s="14" customFormat="1" ht="18" customHeight="1">
      <c r="A58" s="585" t="s">
        <v>101</v>
      </c>
      <c r="B58" s="586"/>
      <c r="C58" s="591" t="s">
        <v>102</v>
      </c>
      <c r="D58" s="591"/>
      <c r="E58" s="591"/>
      <c r="F58" s="591"/>
      <c r="G58" s="592" t="s">
        <v>103</v>
      </c>
      <c r="H58" s="592"/>
      <c r="I58" s="592"/>
      <c r="J58" s="592"/>
      <c r="K58" s="592"/>
      <c r="L58" s="592"/>
      <c r="M58" s="592"/>
      <c r="N58" s="592"/>
      <c r="O58" s="592"/>
      <c r="P58" s="592"/>
      <c r="Q58" s="591" t="s">
        <v>92</v>
      </c>
      <c r="R58" s="591"/>
      <c r="S58" s="591"/>
      <c r="T58" s="591"/>
      <c r="U58" s="591"/>
      <c r="V58" s="591"/>
      <c r="W58" s="591"/>
      <c r="X58" s="568" t="s">
        <v>93</v>
      </c>
      <c r="Y58" s="568"/>
      <c r="Z58" s="568"/>
      <c r="AA58" s="568"/>
      <c r="AB58" s="569"/>
      <c r="AC58" s="569"/>
      <c r="AD58" s="569"/>
      <c r="AE58" s="569"/>
      <c r="AF58" s="569"/>
      <c r="AG58" s="569"/>
      <c r="AH58" s="569"/>
      <c r="AI58" s="568" t="s">
        <v>94</v>
      </c>
      <c r="AJ58" s="568"/>
      <c r="AK58" s="568"/>
      <c r="AL58" s="568"/>
      <c r="AM58" s="573"/>
      <c r="AN58" s="573"/>
      <c r="AO58" s="573"/>
      <c r="AP58" s="574"/>
    </row>
    <row r="59" spans="1:42" s="14" customFormat="1" ht="18" customHeight="1">
      <c r="A59" s="587"/>
      <c r="B59" s="588"/>
      <c r="C59" s="446"/>
      <c r="D59" s="446"/>
      <c r="E59" s="446"/>
      <c r="F59" s="446"/>
      <c r="G59" s="511"/>
      <c r="H59" s="511"/>
      <c r="I59" s="511"/>
      <c r="J59" s="511"/>
      <c r="K59" s="511"/>
      <c r="L59" s="511"/>
      <c r="M59" s="511"/>
      <c r="N59" s="511"/>
      <c r="O59" s="511"/>
      <c r="P59" s="511"/>
      <c r="Q59" s="446" t="s">
        <v>95</v>
      </c>
      <c r="R59" s="446"/>
      <c r="S59" s="446"/>
      <c r="T59" s="446"/>
      <c r="U59" s="446"/>
      <c r="V59" s="446"/>
      <c r="W59" s="446"/>
      <c r="X59" s="485" t="s">
        <v>93</v>
      </c>
      <c r="Y59" s="485"/>
      <c r="Z59" s="485"/>
      <c r="AA59" s="485"/>
      <c r="AB59" s="548"/>
      <c r="AC59" s="548"/>
      <c r="AD59" s="548"/>
      <c r="AE59" s="548"/>
      <c r="AF59" s="548"/>
      <c r="AG59" s="548"/>
      <c r="AH59" s="548"/>
      <c r="AI59" s="485" t="s">
        <v>94</v>
      </c>
      <c r="AJ59" s="485"/>
      <c r="AK59" s="485"/>
      <c r="AL59" s="485"/>
      <c r="AM59" s="512"/>
      <c r="AN59" s="512"/>
      <c r="AO59" s="512"/>
      <c r="AP59" s="523"/>
    </row>
    <row r="60" spans="1:42" s="14" customFormat="1" ht="18" customHeight="1">
      <c r="A60" s="587"/>
      <c r="B60" s="588"/>
      <c r="C60" s="446"/>
      <c r="D60" s="446"/>
      <c r="E60" s="446"/>
      <c r="F60" s="446"/>
      <c r="G60" s="472" t="s">
        <v>104</v>
      </c>
      <c r="H60" s="472"/>
      <c r="I60" s="472"/>
      <c r="J60" s="472"/>
      <c r="K60" s="472"/>
      <c r="L60" s="472"/>
      <c r="M60" s="472"/>
      <c r="N60" s="472"/>
      <c r="O60" s="472"/>
      <c r="P60" s="472"/>
      <c r="Q60" s="446" t="s">
        <v>105</v>
      </c>
      <c r="R60" s="446"/>
      <c r="S60" s="446"/>
      <c r="T60" s="446"/>
      <c r="U60" s="446"/>
      <c r="V60" s="446"/>
      <c r="W60" s="446"/>
      <c r="X60" s="485" t="s">
        <v>102</v>
      </c>
      <c r="Y60" s="485"/>
      <c r="Z60" s="485"/>
      <c r="AA60" s="485"/>
      <c r="AB60" s="548"/>
      <c r="AC60" s="548"/>
      <c r="AD60" s="548"/>
      <c r="AE60" s="548"/>
      <c r="AF60" s="548"/>
      <c r="AG60" s="548"/>
      <c r="AH60" s="548"/>
      <c r="AI60" s="485" t="s">
        <v>94</v>
      </c>
      <c r="AJ60" s="485"/>
      <c r="AK60" s="485"/>
      <c r="AL60" s="485"/>
      <c r="AM60" s="512"/>
      <c r="AN60" s="512"/>
      <c r="AO60" s="512"/>
      <c r="AP60" s="523"/>
    </row>
    <row r="61" spans="1:42" s="14" customFormat="1" ht="18" customHeight="1">
      <c r="A61" s="587"/>
      <c r="B61" s="588"/>
      <c r="C61" s="446"/>
      <c r="D61" s="446"/>
      <c r="E61" s="446"/>
      <c r="F61" s="446"/>
      <c r="G61" s="472"/>
      <c r="H61" s="472"/>
      <c r="I61" s="472"/>
      <c r="J61" s="472"/>
      <c r="K61" s="472"/>
      <c r="L61" s="472"/>
      <c r="M61" s="472"/>
      <c r="N61" s="472"/>
      <c r="O61" s="472"/>
      <c r="P61" s="472"/>
      <c r="Q61" s="446" t="s">
        <v>95</v>
      </c>
      <c r="R61" s="446"/>
      <c r="S61" s="446"/>
      <c r="T61" s="446"/>
      <c r="U61" s="446"/>
      <c r="V61" s="446"/>
      <c r="W61" s="446"/>
      <c r="X61" s="485" t="s">
        <v>102</v>
      </c>
      <c r="Y61" s="485"/>
      <c r="Z61" s="485"/>
      <c r="AA61" s="485"/>
      <c r="AB61" s="548"/>
      <c r="AC61" s="548"/>
      <c r="AD61" s="548"/>
      <c r="AE61" s="548"/>
      <c r="AF61" s="548"/>
      <c r="AG61" s="548"/>
      <c r="AH61" s="548"/>
      <c r="AI61" s="485" t="s">
        <v>94</v>
      </c>
      <c r="AJ61" s="485"/>
      <c r="AK61" s="485"/>
      <c r="AL61" s="485"/>
      <c r="AM61" s="512"/>
      <c r="AN61" s="512"/>
      <c r="AO61" s="512"/>
      <c r="AP61" s="523"/>
    </row>
    <row r="62" spans="1:42" s="14" customFormat="1" ht="18" customHeight="1">
      <c r="A62" s="587"/>
      <c r="B62" s="588"/>
      <c r="C62" s="446"/>
      <c r="D62" s="446"/>
      <c r="E62" s="446"/>
      <c r="F62" s="446"/>
      <c r="G62" s="576" t="s">
        <v>106</v>
      </c>
      <c r="H62" s="576"/>
      <c r="I62" s="576"/>
      <c r="J62" s="576"/>
      <c r="K62" s="576"/>
      <c r="L62" s="576"/>
      <c r="M62" s="576"/>
      <c r="N62" s="576"/>
      <c r="O62" s="576"/>
      <c r="P62" s="576"/>
      <c r="Q62" s="576"/>
      <c r="R62" s="576"/>
      <c r="S62" s="576"/>
      <c r="T62" s="576"/>
      <c r="U62" s="576"/>
      <c r="V62" s="576"/>
      <c r="W62" s="576"/>
      <c r="X62" s="551"/>
      <c r="Y62" s="551"/>
      <c r="Z62" s="551"/>
      <c r="AA62" s="551"/>
      <c r="AB62" s="512">
        <f>SUM(AB58:AH61)</f>
        <v>0</v>
      </c>
      <c r="AC62" s="512"/>
      <c r="AD62" s="512"/>
      <c r="AE62" s="512"/>
      <c r="AF62" s="512"/>
      <c r="AG62" s="512"/>
      <c r="AH62" s="512"/>
      <c r="AI62" s="551"/>
      <c r="AJ62" s="551"/>
      <c r="AK62" s="551"/>
      <c r="AL62" s="551"/>
      <c r="AM62" s="512">
        <f>SUM(AM58:AP61)</f>
        <v>0</v>
      </c>
      <c r="AN62" s="512"/>
      <c r="AO62" s="512"/>
      <c r="AP62" s="523"/>
    </row>
    <row r="63" spans="1:42" s="14" customFormat="1" ht="18" customHeight="1">
      <c r="A63" s="587"/>
      <c r="B63" s="588"/>
      <c r="C63" s="446" t="s">
        <v>107</v>
      </c>
      <c r="D63" s="446"/>
      <c r="E63" s="446"/>
      <c r="F63" s="446"/>
      <c r="G63" s="446" t="s">
        <v>108</v>
      </c>
      <c r="H63" s="446"/>
      <c r="I63" s="446"/>
      <c r="J63" s="446"/>
      <c r="K63" s="446"/>
      <c r="L63" s="446"/>
      <c r="M63" s="446"/>
      <c r="N63" s="446"/>
      <c r="O63" s="446"/>
      <c r="P63" s="446"/>
      <c r="Q63" s="446" t="s">
        <v>109</v>
      </c>
      <c r="R63" s="446"/>
      <c r="S63" s="446"/>
      <c r="T63" s="446"/>
      <c r="U63" s="446"/>
      <c r="V63" s="446"/>
      <c r="W63" s="446"/>
      <c r="X63" s="485" t="s">
        <v>110</v>
      </c>
      <c r="Y63" s="485"/>
      <c r="Z63" s="485"/>
      <c r="AA63" s="485"/>
      <c r="AB63" s="548"/>
      <c r="AC63" s="548"/>
      <c r="AD63" s="548"/>
      <c r="AE63" s="548"/>
      <c r="AF63" s="548"/>
      <c r="AG63" s="548"/>
      <c r="AH63" s="548"/>
      <c r="AI63" s="485" t="s">
        <v>111</v>
      </c>
      <c r="AJ63" s="485"/>
      <c r="AK63" s="485"/>
      <c r="AL63" s="485"/>
      <c r="AM63" s="512"/>
      <c r="AN63" s="512"/>
      <c r="AO63" s="512"/>
      <c r="AP63" s="523"/>
    </row>
    <row r="64" spans="1:42" s="14" customFormat="1" ht="18" customHeight="1">
      <c r="A64" s="587"/>
      <c r="B64" s="588"/>
      <c r="C64" s="446"/>
      <c r="D64" s="446"/>
      <c r="E64" s="446"/>
      <c r="F64" s="446"/>
      <c r="G64" s="446"/>
      <c r="H64" s="446"/>
      <c r="I64" s="446"/>
      <c r="J64" s="446"/>
      <c r="K64" s="446"/>
      <c r="L64" s="446"/>
      <c r="M64" s="446"/>
      <c r="N64" s="446"/>
      <c r="O64" s="446"/>
      <c r="P64" s="446"/>
      <c r="Q64" s="446" t="s">
        <v>112</v>
      </c>
      <c r="R64" s="446"/>
      <c r="S64" s="446"/>
      <c r="T64" s="446"/>
      <c r="U64" s="446"/>
      <c r="V64" s="446"/>
      <c r="W64" s="446"/>
      <c r="X64" s="485"/>
      <c r="Y64" s="485"/>
      <c r="Z64" s="485"/>
      <c r="AA64" s="485"/>
      <c r="AB64" s="548"/>
      <c r="AC64" s="548"/>
      <c r="AD64" s="548"/>
      <c r="AE64" s="548"/>
      <c r="AF64" s="548"/>
      <c r="AG64" s="548"/>
      <c r="AH64" s="548"/>
      <c r="AI64" s="485"/>
      <c r="AJ64" s="485"/>
      <c r="AK64" s="485"/>
      <c r="AL64" s="485"/>
      <c r="AM64" s="512"/>
      <c r="AN64" s="512"/>
      <c r="AO64" s="512"/>
      <c r="AP64" s="523"/>
    </row>
    <row r="65" spans="1:42" s="14" customFormat="1" ht="18" customHeight="1">
      <c r="A65" s="587"/>
      <c r="B65" s="588"/>
      <c r="C65" s="446"/>
      <c r="D65" s="446"/>
      <c r="E65" s="446"/>
      <c r="F65" s="446"/>
      <c r="G65" s="583" t="s">
        <v>113</v>
      </c>
      <c r="H65" s="583"/>
      <c r="I65" s="472" t="s">
        <v>114</v>
      </c>
      <c r="J65" s="472"/>
      <c r="K65" s="472"/>
      <c r="L65" s="472"/>
      <c r="M65" s="472"/>
      <c r="N65" s="472"/>
      <c r="O65" s="472"/>
      <c r="P65" s="472"/>
      <c r="Q65" s="446" t="s">
        <v>115</v>
      </c>
      <c r="R65" s="446"/>
      <c r="S65" s="446"/>
      <c r="T65" s="446"/>
      <c r="U65" s="446"/>
      <c r="V65" s="446"/>
      <c r="W65" s="446"/>
      <c r="X65" s="584" t="s">
        <v>116</v>
      </c>
      <c r="Y65" s="584"/>
      <c r="Z65" s="584"/>
      <c r="AA65" s="584"/>
      <c r="AB65" s="548"/>
      <c r="AC65" s="548"/>
      <c r="AD65" s="548"/>
      <c r="AE65" s="548"/>
      <c r="AF65" s="548"/>
      <c r="AG65" s="548"/>
      <c r="AH65" s="548"/>
      <c r="AI65" s="485" t="s">
        <v>117</v>
      </c>
      <c r="AJ65" s="485"/>
      <c r="AK65" s="485"/>
      <c r="AL65" s="485"/>
      <c r="AM65" s="512"/>
      <c r="AN65" s="512"/>
      <c r="AO65" s="512"/>
      <c r="AP65" s="523"/>
    </row>
    <row r="66" spans="1:42" s="14" customFormat="1" ht="18" customHeight="1">
      <c r="A66" s="587"/>
      <c r="B66" s="588"/>
      <c r="C66" s="446"/>
      <c r="D66" s="446"/>
      <c r="E66" s="446"/>
      <c r="F66" s="446"/>
      <c r="G66" s="583"/>
      <c r="H66" s="583"/>
      <c r="I66" s="472"/>
      <c r="J66" s="472"/>
      <c r="K66" s="472"/>
      <c r="L66" s="472"/>
      <c r="M66" s="472"/>
      <c r="N66" s="472"/>
      <c r="O66" s="472"/>
      <c r="P66" s="472"/>
      <c r="Q66" s="446" t="s">
        <v>118</v>
      </c>
      <c r="R66" s="446"/>
      <c r="S66" s="446"/>
      <c r="T66" s="446"/>
      <c r="U66" s="446"/>
      <c r="V66" s="446"/>
      <c r="W66" s="446"/>
      <c r="X66" s="584"/>
      <c r="Y66" s="584"/>
      <c r="Z66" s="584"/>
      <c r="AA66" s="584"/>
      <c r="AB66" s="548"/>
      <c r="AC66" s="548"/>
      <c r="AD66" s="548"/>
      <c r="AE66" s="548"/>
      <c r="AF66" s="548"/>
      <c r="AG66" s="548"/>
      <c r="AH66" s="548"/>
      <c r="AI66" s="485"/>
      <c r="AJ66" s="485"/>
      <c r="AK66" s="485"/>
      <c r="AL66" s="485"/>
      <c r="AM66" s="512"/>
      <c r="AN66" s="512"/>
      <c r="AO66" s="512"/>
      <c r="AP66" s="523"/>
    </row>
    <row r="67" spans="1:42" s="14" customFormat="1" ht="18" customHeight="1">
      <c r="A67" s="587"/>
      <c r="B67" s="588"/>
      <c r="C67" s="446"/>
      <c r="D67" s="446"/>
      <c r="E67" s="446"/>
      <c r="F67" s="446"/>
      <c r="G67" s="583"/>
      <c r="H67" s="583"/>
      <c r="I67" s="472"/>
      <c r="J67" s="472"/>
      <c r="K67" s="472"/>
      <c r="L67" s="472"/>
      <c r="M67" s="472"/>
      <c r="N67" s="472"/>
      <c r="O67" s="472"/>
      <c r="P67" s="472"/>
      <c r="Q67" s="446" t="s">
        <v>119</v>
      </c>
      <c r="R67" s="446"/>
      <c r="S67" s="446"/>
      <c r="T67" s="446"/>
      <c r="U67" s="446"/>
      <c r="V67" s="446"/>
      <c r="W67" s="446"/>
      <c r="X67" s="584"/>
      <c r="Y67" s="584"/>
      <c r="Z67" s="584"/>
      <c r="AA67" s="584"/>
      <c r="AB67" s="548"/>
      <c r="AC67" s="548"/>
      <c r="AD67" s="548"/>
      <c r="AE67" s="548"/>
      <c r="AF67" s="548"/>
      <c r="AG67" s="548"/>
      <c r="AH67" s="548"/>
      <c r="AI67" s="485"/>
      <c r="AJ67" s="485"/>
      <c r="AK67" s="485"/>
      <c r="AL67" s="485"/>
      <c r="AM67" s="512"/>
      <c r="AN67" s="512"/>
      <c r="AO67" s="512"/>
      <c r="AP67" s="523"/>
    </row>
    <row r="68" spans="1:42" s="14" customFormat="1" ht="26.25" customHeight="1">
      <c r="A68" s="587"/>
      <c r="B68" s="588"/>
      <c r="C68" s="446"/>
      <c r="D68" s="446"/>
      <c r="E68" s="446"/>
      <c r="F68" s="446"/>
      <c r="G68" s="583"/>
      <c r="H68" s="583"/>
      <c r="I68" s="472" t="s">
        <v>120</v>
      </c>
      <c r="J68" s="472"/>
      <c r="K68" s="472"/>
      <c r="L68" s="472"/>
      <c r="M68" s="472"/>
      <c r="N68" s="472"/>
      <c r="O68" s="472"/>
      <c r="P68" s="472"/>
      <c r="Q68" s="583" t="s">
        <v>121</v>
      </c>
      <c r="R68" s="583"/>
      <c r="S68" s="583"/>
      <c r="T68" s="583"/>
      <c r="U68" s="583"/>
      <c r="V68" s="583"/>
      <c r="W68" s="583"/>
      <c r="X68" s="584"/>
      <c r="Y68" s="584"/>
      <c r="Z68" s="584"/>
      <c r="AA68" s="584"/>
      <c r="AB68" s="548"/>
      <c r="AC68" s="548"/>
      <c r="AD68" s="548"/>
      <c r="AE68" s="548"/>
      <c r="AF68" s="548"/>
      <c r="AG68" s="548"/>
      <c r="AH68" s="548"/>
      <c r="AI68" s="485"/>
      <c r="AJ68" s="485"/>
      <c r="AK68" s="485"/>
      <c r="AL68" s="485"/>
      <c r="AM68" s="512"/>
      <c r="AN68" s="512"/>
      <c r="AO68" s="512"/>
      <c r="AP68" s="523"/>
    </row>
    <row r="69" spans="1:42" s="14" customFormat="1" ht="18" customHeight="1">
      <c r="A69" s="587"/>
      <c r="B69" s="588"/>
      <c r="C69" s="446"/>
      <c r="D69" s="446"/>
      <c r="E69" s="446"/>
      <c r="F69" s="446"/>
      <c r="G69" s="583"/>
      <c r="H69" s="583"/>
      <c r="I69" s="472"/>
      <c r="J69" s="472"/>
      <c r="K69" s="472"/>
      <c r="L69" s="472"/>
      <c r="M69" s="472"/>
      <c r="N69" s="472"/>
      <c r="O69" s="472"/>
      <c r="P69" s="472"/>
      <c r="Q69" s="446" t="s">
        <v>122</v>
      </c>
      <c r="R69" s="446"/>
      <c r="S69" s="446"/>
      <c r="T69" s="446"/>
      <c r="U69" s="446"/>
      <c r="V69" s="446"/>
      <c r="W69" s="446"/>
      <c r="X69" s="584"/>
      <c r="Y69" s="584"/>
      <c r="Z69" s="584"/>
      <c r="AA69" s="584"/>
      <c r="AB69" s="548"/>
      <c r="AC69" s="548"/>
      <c r="AD69" s="548"/>
      <c r="AE69" s="548"/>
      <c r="AF69" s="548"/>
      <c r="AG69" s="548"/>
      <c r="AH69" s="548"/>
      <c r="AI69" s="485"/>
      <c r="AJ69" s="485"/>
      <c r="AK69" s="485"/>
      <c r="AL69" s="485"/>
      <c r="AM69" s="512"/>
      <c r="AN69" s="512"/>
      <c r="AO69" s="512"/>
      <c r="AP69" s="523"/>
    </row>
    <row r="70" spans="1:42" s="14" customFormat="1" ht="18" customHeight="1">
      <c r="A70" s="587"/>
      <c r="B70" s="588"/>
      <c r="C70" s="446"/>
      <c r="D70" s="446"/>
      <c r="E70" s="446"/>
      <c r="F70" s="446"/>
      <c r="G70" s="583"/>
      <c r="H70" s="583"/>
      <c r="I70" s="472" t="s">
        <v>123</v>
      </c>
      <c r="J70" s="472"/>
      <c r="K70" s="472"/>
      <c r="L70" s="472"/>
      <c r="M70" s="472"/>
      <c r="N70" s="472"/>
      <c r="O70" s="472"/>
      <c r="P70" s="472"/>
      <c r="Q70" s="583" t="s">
        <v>124</v>
      </c>
      <c r="R70" s="583"/>
      <c r="S70" s="583"/>
      <c r="T70" s="575" t="s">
        <v>125</v>
      </c>
      <c r="U70" s="575"/>
      <c r="V70" s="575"/>
      <c r="W70" s="575"/>
      <c r="X70" s="584"/>
      <c r="Y70" s="584"/>
      <c r="Z70" s="584"/>
      <c r="AA70" s="584"/>
      <c r="AB70" s="548"/>
      <c r="AC70" s="548"/>
      <c r="AD70" s="548"/>
      <c r="AE70" s="548"/>
      <c r="AF70" s="548"/>
      <c r="AG70" s="548"/>
      <c r="AH70" s="548"/>
      <c r="AI70" s="485"/>
      <c r="AJ70" s="485"/>
      <c r="AK70" s="485"/>
      <c r="AL70" s="485"/>
      <c r="AM70" s="512"/>
      <c r="AN70" s="512"/>
      <c r="AO70" s="512"/>
      <c r="AP70" s="523"/>
    </row>
    <row r="71" spans="1:42" s="15" customFormat="1" ht="18" customHeight="1">
      <c r="A71" s="587"/>
      <c r="B71" s="588"/>
      <c r="C71" s="446"/>
      <c r="D71" s="446"/>
      <c r="E71" s="446"/>
      <c r="F71" s="446"/>
      <c r="G71" s="583"/>
      <c r="H71" s="583"/>
      <c r="I71" s="472"/>
      <c r="J71" s="472"/>
      <c r="K71" s="472"/>
      <c r="L71" s="472"/>
      <c r="M71" s="472"/>
      <c r="N71" s="472"/>
      <c r="O71" s="472"/>
      <c r="P71" s="472"/>
      <c r="Q71" s="583"/>
      <c r="R71" s="583"/>
      <c r="S71" s="583"/>
      <c r="T71" s="575" t="s">
        <v>126</v>
      </c>
      <c r="U71" s="575"/>
      <c r="V71" s="575"/>
      <c r="W71" s="575"/>
      <c r="X71" s="584"/>
      <c r="Y71" s="584"/>
      <c r="Z71" s="584"/>
      <c r="AA71" s="584"/>
      <c r="AB71" s="548"/>
      <c r="AC71" s="548"/>
      <c r="AD71" s="548"/>
      <c r="AE71" s="548"/>
      <c r="AF71" s="548"/>
      <c r="AG71" s="548"/>
      <c r="AH71" s="548"/>
      <c r="AI71" s="485"/>
      <c r="AJ71" s="485"/>
      <c r="AK71" s="485"/>
      <c r="AL71" s="485"/>
      <c r="AM71" s="512"/>
      <c r="AN71" s="512"/>
      <c r="AO71" s="512"/>
      <c r="AP71" s="523"/>
    </row>
    <row r="72" spans="1:42" s="15" customFormat="1" ht="18" customHeight="1">
      <c r="A72" s="587"/>
      <c r="B72" s="588"/>
      <c r="C72" s="446"/>
      <c r="D72" s="446"/>
      <c r="E72" s="446"/>
      <c r="F72" s="446"/>
      <c r="G72" s="583"/>
      <c r="H72" s="583"/>
      <c r="I72" s="472"/>
      <c r="J72" s="472"/>
      <c r="K72" s="472"/>
      <c r="L72" s="472"/>
      <c r="M72" s="472"/>
      <c r="N72" s="472"/>
      <c r="O72" s="472"/>
      <c r="P72" s="472"/>
      <c r="Q72" s="583"/>
      <c r="R72" s="583"/>
      <c r="S72" s="583"/>
      <c r="T72" s="446" t="s">
        <v>122</v>
      </c>
      <c r="U72" s="446"/>
      <c r="V72" s="446"/>
      <c r="W72" s="446"/>
      <c r="X72" s="584"/>
      <c r="Y72" s="584"/>
      <c r="Z72" s="584"/>
      <c r="AA72" s="584"/>
      <c r="AB72" s="548"/>
      <c r="AC72" s="548"/>
      <c r="AD72" s="548"/>
      <c r="AE72" s="548"/>
      <c r="AF72" s="548"/>
      <c r="AG72" s="548"/>
      <c r="AH72" s="548"/>
      <c r="AI72" s="485"/>
      <c r="AJ72" s="485"/>
      <c r="AK72" s="485"/>
      <c r="AL72" s="485"/>
      <c r="AM72" s="512"/>
      <c r="AN72" s="512"/>
      <c r="AO72" s="512"/>
      <c r="AP72" s="523"/>
    </row>
    <row r="73" spans="1:42" s="15" customFormat="1" ht="18" customHeight="1">
      <c r="A73" s="587"/>
      <c r="B73" s="588"/>
      <c r="C73" s="446"/>
      <c r="D73" s="446"/>
      <c r="E73" s="446"/>
      <c r="F73" s="446"/>
      <c r="G73" s="583"/>
      <c r="H73" s="583"/>
      <c r="I73" s="472"/>
      <c r="J73" s="472"/>
      <c r="K73" s="472"/>
      <c r="L73" s="472"/>
      <c r="M73" s="472"/>
      <c r="N73" s="472"/>
      <c r="O73" s="472"/>
      <c r="P73" s="472"/>
      <c r="Q73" s="575" t="s">
        <v>127</v>
      </c>
      <c r="R73" s="575"/>
      <c r="S73" s="575"/>
      <c r="T73" s="575" t="s">
        <v>126</v>
      </c>
      <c r="U73" s="575"/>
      <c r="V73" s="575"/>
      <c r="W73" s="575"/>
      <c r="X73" s="584"/>
      <c r="Y73" s="584"/>
      <c r="Z73" s="584"/>
      <c r="AA73" s="584"/>
      <c r="AB73" s="548"/>
      <c r="AC73" s="548"/>
      <c r="AD73" s="548"/>
      <c r="AE73" s="548"/>
      <c r="AF73" s="548"/>
      <c r="AG73" s="548"/>
      <c r="AH73" s="548"/>
      <c r="AI73" s="485"/>
      <c r="AJ73" s="485"/>
      <c r="AK73" s="485"/>
      <c r="AL73" s="485"/>
      <c r="AM73" s="512"/>
      <c r="AN73" s="512"/>
      <c r="AO73" s="512"/>
      <c r="AP73" s="523"/>
    </row>
    <row r="74" spans="1:42" s="15" customFormat="1" ht="18" customHeight="1">
      <c r="A74" s="587"/>
      <c r="B74" s="588"/>
      <c r="C74" s="446"/>
      <c r="D74" s="446"/>
      <c r="E74" s="446"/>
      <c r="F74" s="446"/>
      <c r="G74" s="576" t="s">
        <v>128</v>
      </c>
      <c r="H74" s="576"/>
      <c r="I74" s="576"/>
      <c r="J74" s="576"/>
      <c r="K74" s="576"/>
      <c r="L74" s="576"/>
      <c r="M74" s="576"/>
      <c r="N74" s="576"/>
      <c r="O74" s="576"/>
      <c r="P74" s="576"/>
      <c r="Q74" s="576"/>
      <c r="R74" s="576"/>
      <c r="S74" s="576"/>
      <c r="T74" s="576"/>
      <c r="U74" s="576"/>
      <c r="V74" s="576"/>
      <c r="W74" s="576"/>
      <c r="X74" s="551"/>
      <c r="Y74" s="551"/>
      <c r="Z74" s="551"/>
      <c r="AA74" s="551"/>
      <c r="AB74" s="552"/>
      <c r="AC74" s="552"/>
      <c r="AD74" s="552"/>
      <c r="AE74" s="552"/>
      <c r="AF74" s="552"/>
      <c r="AG74" s="552"/>
      <c r="AH74" s="552"/>
      <c r="AI74" s="551"/>
      <c r="AJ74" s="551"/>
      <c r="AK74" s="551"/>
      <c r="AL74" s="551"/>
      <c r="AM74" s="512"/>
      <c r="AN74" s="512"/>
      <c r="AO74" s="512"/>
      <c r="AP74" s="523"/>
    </row>
    <row r="75" spans="1:42" s="15" customFormat="1" ht="18" customHeight="1">
      <c r="A75" s="587"/>
      <c r="B75" s="588"/>
      <c r="C75" s="472" t="s">
        <v>129</v>
      </c>
      <c r="D75" s="472"/>
      <c r="E75" s="472"/>
      <c r="F75" s="472"/>
      <c r="G75" s="572" t="s">
        <v>464</v>
      </c>
      <c r="H75" s="572"/>
      <c r="I75" s="572"/>
      <c r="J75" s="572"/>
      <c r="K75" s="572"/>
      <c r="L75" s="572"/>
      <c r="M75" s="572"/>
      <c r="N75" s="572"/>
      <c r="O75" s="572"/>
      <c r="P75" s="572"/>
      <c r="Q75" s="572"/>
      <c r="R75" s="572"/>
      <c r="S75" s="572"/>
      <c r="T75" s="572"/>
      <c r="U75" s="572"/>
      <c r="V75" s="572"/>
      <c r="W75" s="572"/>
      <c r="X75" s="485" t="s">
        <v>130</v>
      </c>
      <c r="Y75" s="485"/>
      <c r="Z75" s="485"/>
      <c r="AA75" s="485"/>
      <c r="AB75" s="548"/>
      <c r="AC75" s="548"/>
      <c r="AD75" s="548"/>
      <c r="AE75" s="548"/>
      <c r="AF75" s="548"/>
      <c r="AG75" s="548"/>
      <c r="AH75" s="548"/>
      <c r="AI75" s="485" t="s">
        <v>117</v>
      </c>
      <c r="AJ75" s="485"/>
      <c r="AK75" s="485"/>
      <c r="AL75" s="485"/>
      <c r="AM75" s="512"/>
      <c r="AN75" s="512"/>
      <c r="AO75" s="512"/>
      <c r="AP75" s="523"/>
    </row>
    <row r="76" spans="1:42" s="15" customFormat="1" ht="18" customHeight="1">
      <c r="A76" s="587"/>
      <c r="B76" s="588"/>
      <c r="C76" s="472"/>
      <c r="D76" s="472"/>
      <c r="E76" s="472"/>
      <c r="F76" s="472"/>
      <c r="G76" s="571" t="s">
        <v>465</v>
      </c>
      <c r="H76" s="572"/>
      <c r="I76" s="572"/>
      <c r="J76" s="572"/>
      <c r="K76" s="572"/>
      <c r="L76" s="572"/>
      <c r="M76" s="572"/>
      <c r="N76" s="572"/>
      <c r="O76" s="572"/>
      <c r="P76" s="572"/>
      <c r="Q76" s="572"/>
      <c r="R76" s="572"/>
      <c r="S76" s="572"/>
      <c r="T76" s="572"/>
      <c r="U76" s="572"/>
      <c r="V76" s="572"/>
      <c r="W76" s="572"/>
      <c r="X76" s="485" t="s">
        <v>130</v>
      </c>
      <c r="Y76" s="485"/>
      <c r="Z76" s="485"/>
      <c r="AA76" s="485"/>
      <c r="AB76" s="548"/>
      <c r="AC76" s="548"/>
      <c r="AD76" s="548"/>
      <c r="AE76" s="548"/>
      <c r="AF76" s="548"/>
      <c r="AG76" s="548"/>
      <c r="AH76" s="548"/>
      <c r="AI76" s="485"/>
      <c r="AJ76" s="485"/>
      <c r="AK76" s="485"/>
      <c r="AL76" s="485"/>
      <c r="AM76" s="512"/>
      <c r="AN76" s="512"/>
      <c r="AO76" s="512"/>
      <c r="AP76" s="523"/>
    </row>
    <row r="77" spans="1:42" s="15" customFormat="1" ht="18" customHeight="1">
      <c r="A77" s="587"/>
      <c r="B77" s="588"/>
      <c r="C77" s="472"/>
      <c r="D77" s="472"/>
      <c r="E77" s="472"/>
      <c r="F77" s="472"/>
      <c r="G77" s="571" t="s">
        <v>466</v>
      </c>
      <c r="H77" s="572"/>
      <c r="I77" s="572"/>
      <c r="J77" s="572"/>
      <c r="K77" s="572"/>
      <c r="L77" s="572"/>
      <c r="M77" s="572"/>
      <c r="N77" s="572"/>
      <c r="O77" s="572"/>
      <c r="P77" s="572"/>
      <c r="Q77" s="572"/>
      <c r="R77" s="572"/>
      <c r="S77" s="572"/>
      <c r="T77" s="572"/>
      <c r="U77" s="572"/>
      <c r="V77" s="572"/>
      <c r="W77" s="572"/>
      <c r="X77" s="485" t="s">
        <v>131</v>
      </c>
      <c r="Y77" s="485"/>
      <c r="Z77" s="485"/>
      <c r="AA77" s="485"/>
      <c r="AB77" s="548"/>
      <c r="AC77" s="548"/>
      <c r="AD77" s="548"/>
      <c r="AE77" s="548"/>
      <c r="AF77" s="548"/>
      <c r="AG77" s="548"/>
      <c r="AH77" s="548"/>
      <c r="AI77" s="485"/>
      <c r="AJ77" s="485"/>
      <c r="AK77" s="485"/>
      <c r="AL77" s="485"/>
      <c r="AM77" s="512"/>
      <c r="AN77" s="512"/>
      <c r="AO77" s="512"/>
      <c r="AP77" s="523"/>
    </row>
    <row r="78" spans="1:42" s="15" customFormat="1" ht="18" customHeight="1">
      <c r="A78" s="589"/>
      <c r="B78" s="590"/>
      <c r="C78" s="577"/>
      <c r="D78" s="577"/>
      <c r="E78" s="577"/>
      <c r="F78" s="577"/>
      <c r="G78" s="578" t="s">
        <v>132</v>
      </c>
      <c r="H78" s="578"/>
      <c r="I78" s="578"/>
      <c r="J78" s="578"/>
      <c r="K78" s="578"/>
      <c r="L78" s="578"/>
      <c r="M78" s="578"/>
      <c r="N78" s="578"/>
      <c r="O78" s="578"/>
      <c r="P78" s="578"/>
      <c r="Q78" s="578"/>
      <c r="R78" s="578"/>
      <c r="S78" s="578"/>
      <c r="T78" s="578"/>
      <c r="U78" s="578"/>
      <c r="V78" s="578"/>
      <c r="W78" s="578"/>
      <c r="X78" s="579"/>
      <c r="Y78" s="579"/>
      <c r="Z78" s="579"/>
      <c r="AA78" s="579"/>
      <c r="AB78" s="580">
        <f>SUM(AB75:AH77)</f>
        <v>0</v>
      </c>
      <c r="AC78" s="580"/>
      <c r="AD78" s="580"/>
      <c r="AE78" s="580"/>
      <c r="AF78" s="580"/>
      <c r="AG78" s="580"/>
      <c r="AH78" s="580"/>
      <c r="AI78" s="579"/>
      <c r="AJ78" s="579"/>
      <c r="AK78" s="579"/>
      <c r="AL78" s="579"/>
      <c r="AM78" s="581">
        <f>SUM(AM75:AP77)</f>
        <v>0</v>
      </c>
      <c r="AN78" s="581"/>
      <c r="AO78" s="581"/>
      <c r="AP78" s="582"/>
    </row>
    <row r="79" spans="1:42" s="15" customFormat="1" ht="24.75" customHeight="1">
      <c r="A79" s="559" t="s">
        <v>133</v>
      </c>
      <c r="B79" s="560"/>
      <c r="C79" s="567" t="s">
        <v>134</v>
      </c>
      <c r="D79" s="567"/>
      <c r="E79" s="567"/>
      <c r="F79" s="567"/>
      <c r="G79" s="567"/>
      <c r="H79" s="567"/>
      <c r="I79" s="567"/>
      <c r="J79" s="567"/>
      <c r="K79" s="567"/>
      <c r="L79" s="567"/>
      <c r="M79" s="567"/>
      <c r="N79" s="567"/>
      <c r="O79" s="567"/>
      <c r="P79" s="567"/>
      <c r="Q79" s="567"/>
      <c r="R79" s="567"/>
      <c r="S79" s="567"/>
      <c r="T79" s="567"/>
      <c r="U79" s="567"/>
      <c r="V79" s="567"/>
      <c r="W79" s="567"/>
      <c r="X79" s="568" t="s">
        <v>135</v>
      </c>
      <c r="Y79" s="568"/>
      <c r="Z79" s="568"/>
      <c r="AA79" s="568"/>
      <c r="AB79" s="569"/>
      <c r="AC79" s="569"/>
      <c r="AD79" s="569"/>
      <c r="AE79" s="569"/>
      <c r="AF79" s="569"/>
      <c r="AG79" s="569"/>
      <c r="AH79" s="569"/>
      <c r="AI79" s="570" t="s">
        <v>136</v>
      </c>
      <c r="AJ79" s="570"/>
      <c r="AK79" s="570"/>
      <c r="AL79" s="570"/>
      <c r="AM79" s="573"/>
      <c r="AN79" s="573"/>
      <c r="AO79" s="573"/>
      <c r="AP79" s="574"/>
    </row>
    <row r="80" spans="1:42" s="15" customFormat="1" ht="18" customHeight="1">
      <c r="A80" s="561"/>
      <c r="B80" s="562"/>
      <c r="C80" s="446" t="s">
        <v>137</v>
      </c>
      <c r="D80" s="446"/>
      <c r="E80" s="446"/>
      <c r="F80" s="446"/>
      <c r="G80" s="446"/>
      <c r="H80" s="446"/>
      <c r="I80" s="446"/>
      <c r="J80" s="446"/>
      <c r="K80" s="446"/>
      <c r="L80" s="446"/>
      <c r="M80" s="446"/>
      <c r="N80" s="446"/>
      <c r="O80" s="446"/>
      <c r="P80" s="446"/>
      <c r="Q80" s="446"/>
      <c r="R80" s="446"/>
      <c r="S80" s="446"/>
      <c r="T80" s="446"/>
      <c r="U80" s="446"/>
      <c r="V80" s="446"/>
      <c r="W80" s="446"/>
      <c r="X80" s="485" t="s">
        <v>138</v>
      </c>
      <c r="Y80" s="485"/>
      <c r="Z80" s="485"/>
      <c r="AA80" s="485"/>
      <c r="AB80" s="548"/>
      <c r="AC80" s="548"/>
      <c r="AD80" s="548"/>
      <c r="AE80" s="548"/>
      <c r="AF80" s="548"/>
      <c r="AG80" s="548"/>
      <c r="AH80" s="548"/>
      <c r="AI80" s="485" t="s">
        <v>139</v>
      </c>
      <c r="AJ80" s="485"/>
      <c r="AK80" s="485"/>
      <c r="AL80" s="485"/>
      <c r="AM80" s="512"/>
      <c r="AN80" s="512"/>
      <c r="AO80" s="512"/>
      <c r="AP80" s="523"/>
    </row>
    <row r="81" spans="1:42" s="15" customFormat="1" ht="18" customHeight="1">
      <c r="A81" s="561"/>
      <c r="B81" s="562"/>
      <c r="C81" s="446" t="s">
        <v>140</v>
      </c>
      <c r="D81" s="446"/>
      <c r="E81" s="446"/>
      <c r="F81" s="446"/>
      <c r="G81" s="446" t="s">
        <v>141</v>
      </c>
      <c r="H81" s="446"/>
      <c r="I81" s="446"/>
      <c r="J81" s="446"/>
      <c r="K81" s="446"/>
      <c r="L81" s="446"/>
      <c r="M81" s="446"/>
      <c r="N81" s="446"/>
      <c r="O81" s="446"/>
      <c r="P81" s="446"/>
      <c r="Q81" s="446"/>
      <c r="R81" s="446"/>
      <c r="S81" s="446"/>
      <c r="T81" s="446"/>
      <c r="U81" s="446"/>
      <c r="V81" s="446"/>
      <c r="W81" s="446"/>
      <c r="X81" s="485" t="s">
        <v>138</v>
      </c>
      <c r="Y81" s="485"/>
      <c r="Z81" s="485"/>
      <c r="AA81" s="485"/>
      <c r="AB81" s="548"/>
      <c r="AC81" s="548"/>
      <c r="AD81" s="548"/>
      <c r="AE81" s="548"/>
      <c r="AF81" s="548"/>
      <c r="AG81" s="548"/>
      <c r="AH81" s="548"/>
      <c r="AI81" s="485" t="s">
        <v>139</v>
      </c>
      <c r="AJ81" s="485"/>
      <c r="AK81" s="485"/>
      <c r="AL81" s="485"/>
      <c r="AM81" s="512"/>
      <c r="AN81" s="512"/>
      <c r="AO81" s="512"/>
      <c r="AP81" s="523"/>
    </row>
    <row r="82" spans="1:42" s="15" customFormat="1" ht="18" customHeight="1">
      <c r="A82" s="561"/>
      <c r="B82" s="562"/>
      <c r="C82" s="446"/>
      <c r="D82" s="446"/>
      <c r="E82" s="446"/>
      <c r="F82" s="446"/>
      <c r="G82" s="446" t="s">
        <v>142</v>
      </c>
      <c r="H82" s="446"/>
      <c r="I82" s="446"/>
      <c r="J82" s="446"/>
      <c r="K82" s="446"/>
      <c r="L82" s="446"/>
      <c r="M82" s="446"/>
      <c r="N82" s="446"/>
      <c r="O82" s="446"/>
      <c r="P82" s="446"/>
      <c r="Q82" s="446"/>
      <c r="R82" s="446"/>
      <c r="S82" s="446"/>
      <c r="T82" s="446"/>
      <c r="U82" s="446"/>
      <c r="V82" s="446"/>
      <c r="W82" s="446"/>
      <c r="X82" s="485" t="s">
        <v>138</v>
      </c>
      <c r="Y82" s="485"/>
      <c r="Z82" s="485"/>
      <c r="AA82" s="485"/>
      <c r="AB82" s="548"/>
      <c r="AC82" s="548"/>
      <c r="AD82" s="548"/>
      <c r="AE82" s="548"/>
      <c r="AF82" s="548"/>
      <c r="AG82" s="548"/>
      <c r="AH82" s="548"/>
      <c r="AI82" s="485" t="s">
        <v>111</v>
      </c>
      <c r="AJ82" s="485"/>
      <c r="AK82" s="485"/>
      <c r="AL82" s="485"/>
      <c r="AM82" s="512"/>
      <c r="AN82" s="512"/>
      <c r="AO82" s="512"/>
      <c r="AP82" s="523"/>
    </row>
    <row r="83" spans="1:42" s="15" customFormat="1" ht="18" customHeight="1">
      <c r="A83" s="561"/>
      <c r="B83" s="562"/>
      <c r="C83" s="446"/>
      <c r="D83" s="446"/>
      <c r="E83" s="446"/>
      <c r="F83" s="446"/>
      <c r="G83" s="446" t="s">
        <v>143</v>
      </c>
      <c r="H83" s="446"/>
      <c r="I83" s="446"/>
      <c r="J83" s="446"/>
      <c r="K83" s="446"/>
      <c r="L83" s="446"/>
      <c r="M83" s="446"/>
      <c r="N83" s="446"/>
      <c r="O83" s="446"/>
      <c r="P83" s="446"/>
      <c r="Q83" s="446"/>
      <c r="R83" s="446"/>
      <c r="S83" s="446"/>
      <c r="T83" s="446"/>
      <c r="U83" s="446"/>
      <c r="V83" s="446"/>
      <c r="W83" s="446"/>
      <c r="X83" s="485" t="s">
        <v>138</v>
      </c>
      <c r="Y83" s="485"/>
      <c r="Z83" s="485"/>
      <c r="AA83" s="485"/>
      <c r="AB83" s="548"/>
      <c r="AC83" s="548"/>
      <c r="AD83" s="548"/>
      <c r="AE83" s="548"/>
      <c r="AF83" s="548"/>
      <c r="AG83" s="548"/>
      <c r="AH83" s="548"/>
      <c r="AI83" s="485" t="s">
        <v>139</v>
      </c>
      <c r="AJ83" s="485"/>
      <c r="AK83" s="485"/>
      <c r="AL83" s="485"/>
      <c r="AM83" s="512"/>
      <c r="AN83" s="512"/>
      <c r="AO83" s="512"/>
      <c r="AP83" s="523"/>
    </row>
    <row r="84" spans="1:42" s="15" customFormat="1" ht="18" customHeight="1">
      <c r="A84" s="561"/>
      <c r="B84" s="562"/>
      <c r="C84" s="446"/>
      <c r="D84" s="446"/>
      <c r="E84" s="446"/>
      <c r="F84" s="446"/>
      <c r="G84" s="446" t="s">
        <v>144</v>
      </c>
      <c r="H84" s="446"/>
      <c r="I84" s="446"/>
      <c r="J84" s="446"/>
      <c r="K84" s="446"/>
      <c r="L84" s="446"/>
      <c r="M84" s="446"/>
      <c r="N84" s="446"/>
      <c r="O84" s="446"/>
      <c r="P84" s="446"/>
      <c r="Q84" s="446"/>
      <c r="R84" s="446"/>
      <c r="S84" s="446"/>
      <c r="T84" s="446"/>
      <c r="U84" s="446"/>
      <c r="V84" s="446"/>
      <c r="W84" s="446"/>
      <c r="X84" s="551"/>
      <c r="Y84" s="551"/>
      <c r="Z84" s="551"/>
      <c r="AA84" s="551"/>
      <c r="AB84" s="512">
        <f>SUM(AB81:AH83)</f>
        <v>0</v>
      </c>
      <c r="AC84" s="512"/>
      <c r="AD84" s="512"/>
      <c r="AE84" s="512"/>
      <c r="AF84" s="512"/>
      <c r="AG84" s="512"/>
      <c r="AH84" s="512"/>
      <c r="AI84" s="551"/>
      <c r="AJ84" s="551"/>
      <c r="AK84" s="551"/>
      <c r="AL84" s="551"/>
      <c r="AM84" s="512">
        <f>SUM(AM81:AP83)</f>
        <v>0</v>
      </c>
      <c r="AN84" s="512"/>
      <c r="AO84" s="512"/>
      <c r="AP84" s="523"/>
    </row>
    <row r="85" spans="1:42" s="15" customFormat="1" ht="18" customHeight="1">
      <c r="A85" s="561"/>
      <c r="B85" s="562"/>
      <c r="C85" s="472" t="s">
        <v>145</v>
      </c>
      <c r="D85" s="472"/>
      <c r="E85" s="472"/>
      <c r="F85" s="472"/>
      <c r="G85" s="557" t="s">
        <v>461</v>
      </c>
      <c r="H85" s="557"/>
      <c r="I85" s="557"/>
      <c r="J85" s="557"/>
      <c r="K85" s="557"/>
      <c r="L85" s="557"/>
      <c r="M85" s="557"/>
      <c r="N85" s="557"/>
      <c r="O85" s="557"/>
      <c r="P85" s="557"/>
      <c r="Q85" s="557"/>
      <c r="R85" s="557"/>
      <c r="S85" s="557"/>
      <c r="T85" s="557"/>
      <c r="U85" s="555" t="s">
        <v>146</v>
      </c>
      <c r="V85" s="555"/>
      <c r="W85" s="555"/>
      <c r="X85" s="485" t="s">
        <v>147</v>
      </c>
      <c r="Y85" s="485"/>
      <c r="Z85" s="485"/>
      <c r="AA85" s="485"/>
      <c r="AB85" s="548"/>
      <c r="AC85" s="548"/>
      <c r="AD85" s="548"/>
      <c r="AE85" s="548"/>
      <c r="AF85" s="548"/>
      <c r="AG85" s="548"/>
      <c r="AH85" s="548"/>
      <c r="AI85" s="485" t="s">
        <v>111</v>
      </c>
      <c r="AJ85" s="485"/>
      <c r="AK85" s="485"/>
      <c r="AL85" s="485"/>
      <c r="AM85" s="512"/>
      <c r="AN85" s="512"/>
      <c r="AO85" s="512"/>
      <c r="AP85" s="523"/>
    </row>
    <row r="86" spans="1:42" s="15" customFormat="1" ht="18" customHeight="1">
      <c r="A86" s="561"/>
      <c r="B86" s="562"/>
      <c r="C86" s="472"/>
      <c r="D86" s="472"/>
      <c r="E86" s="472"/>
      <c r="F86" s="472"/>
      <c r="G86" s="557"/>
      <c r="H86" s="557"/>
      <c r="I86" s="557"/>
      <c r="J86" s="557"/>
      <c r="K86" s="557"/>
      <c r="L86" s="557"/>
      <c r="M86" s="557"/>
      <c r="N86" s="557"/>
      <c r="O86" s="557"/>
      <c r="P86" s="557"/>
      <c r="Q86" s="557"/>
      <c r="R86" s="557"/>
      <c r="S86" s="557"/>
      <c r="T86" s="557"/>
      <c r="U86" s="555" t="s">
        <v>148</v>
      </c>
      <c r="V86" s="555"/>
      <c r="W86" s="555"/>
      <c r="X86" s="485"/>
      <c r="Y86" s="485"/>
      <c r="Z86" s="485"/>
      <c r="AA86" s="485"/>
      <c r="AB86" s="548"/>
      <c r="AC86" s="548"/>
      <c r="AD86" s="548"/>
      <c r="AE86" s="548"/>
      <c r="AF86" s="548"/>
      <c r="AG86" s="548"/>
      <c r="AH86" s="548"/>
      <c r="AI86" s="485"/>
      <c r="AJ86" s="485"/>
      <c r="AK86" s="485"/>
      <c r="AL86" s="485"/>
      <c r="AM86" s="512"/>
      <c r="AN86" s="512"/>
      <c r="AO86" s="512"/>
      <c r="AP86" s="523"/>
    </row>
    <row r="87" spans="1:42" s="15" customFormat="1" ht="18" customHeight="1">
      <c r="A87" s="561"/>
      <c r="B87" s="562"/>
      <c r="C87" s="472"/>
      <c r="D87" s="472"/>
      <c r="E87" s="472"/>
      <c r="F87" s="472"/>
      <c r="G87" s="557"/>
      <c r="H87" s="557"/>
      <c r="I87" s="557"/>
      <c r="J87" s="557"/>
      <c r="K87" s="557"/>
      <c r="L87" s="557"/>
      <c r="M87" s="557"/>
      <c r="N87" s="557"/>
      <c r="O87" s="557"/>
      <c r="P87" s="557"/>
      <c r="Q87" s="557"/>
      <c r="R87" s="557"/>
      <c r="S87" s="557"/>
      <c r="T87" s="557"/>
      <c r="U87" s="555" t="s">
        <v>149</v>
      </c>
      <c r="V87" s="555"/>
      <c r="W87" s="555"/>
      <c r="X87" s="485"/>
      <c r="Y87" s="485"/>
      <c r="Z87" s="485"/>
      <c r="AA87" s="485"/>
      <c r="AB87" s="548"/>
      <c r="AC87" s="548"/>
      <c r="AD87" s="548"/>
      <c r="AE87" s="548"/>
      <c r="AF87" s="548"/>
      <c r="AG87" s="548"/>
      <c r="AH87" s="548"/>
      <c r="AI87" s="485"/>
      <c r="AJ87" s="485"/>
      <c r="AK87" s="485"/>
      <c r="AL87" s="485"/>
      <c r="AM87" s="512"/>
      <c r="AN87" s="512"/>
      <c r="AO87" s="512"/>
      <c r="AP87" s="523"/>
    </row>
    <row r="88" spans="1:42" s="15" customFormat="1" ht="18" customHeight="1">
      <c r="A88" s="561"/>
      <c r="B88" s="562"/>
      <c r="C88" s="472"/>
      <c r="D88" s="472"/>
      <c r="E88" s="472"/>
      <c r="F88" s="472"/>
      <c r="G88" s="557" t="s">
        <v>462</v>
      </c>
      <c r="H88" s="557"/>
      <c r="I88" s="557"/>
      <c r="J88" s="557"/>
      <c r="K88" s="557"/>
      <c r="L88" s="557"/>
      <c r="M88" s="557"/>
      <c r="N88" s="557"/>
      <c r="O88" s="557"/>
      <c r="P88" s="557"/>
      <c r="Q88" s="557"/>
      <c r="R88" s="557"/>
      <c r="S88" s="557"/>
      <c r="T88" s="557"/>
      <c r="U88" s="555" t="s">
        <v>150</v>
      </c>
      <c r="V88" s="555"/>
      <c r="W88" s="555"/>
      <c r="X88" s="485" t="s">
        <v>147</v>
      </c>
      <c r="Y88" s="485"/>
      <c r="Z88" s="485"/>
      <c r="AA88" s="485"/>
      <c r="AB88" s="548"/>
      <c r="AC88" s="548"/>
      <c r="AD88" s="548"/>
      <c r="AE88" s="548"/>
      <c r="AF88" s="548"/>
      <c r="AG88" s="548"/>
      <c r="AH88" s="548"/>
      <c r="AI88" s="485" t="s">
        <v>139</v>
      </c>
      <c r="AJ88" s="485"/>
      <c r="AK88" s="485"/>
      <c r="AL88" s="485"/>
      <c r="AM88" s="512"/>
      <c r="AN88" s="512"/>
      <c r="AO88" s="512"/>
      <c r="AP88" s="523"/>
    </row>
    <row r="89" spans="1:42" s="15" customFormat="1" ht="18" customHeight="1">
      <c r="A89" s="561"/>
      <c r="B89" s="562"/>
      <c r="C89" s="472"/>
      <c r="D89" s="472"/>
      <c r="E89" s="472"/>
      <c r="F89" s="472"/>
      <c r="G89" s="557"/>
      <c r="H89" s="557"/>
      <c r="I89" s="557"/>
      <c r="J89" s="557"/>
      <c r="K89" s="557"/>
      <c r="L89" s="557"/>
      <c r="M89" s="557"/>
      <c r="N89" s="557"/>
      <c r="O89" s="557"/>
      <c r="P89" s="557"/>
      <c r="Q89" s="557"/>
      <c r="R89" s="557"/>
      <c r="S89" s="557"/>
      <c r="T89" s="557"/>
      <c r="U89" s="555" t="s">
        <v>151</v>
      </c>
      <c r="V89" s="555"/>
      <c r="W89" s="555"/>
      <c r="X89" s="485"/>
      <c r="Y89" s="485"/>
      <c r="Z89" s="485"/>
      <c r="AA89" s="485"/>
      <c r="AB89" s="548"/>
      <c r="AC89" s="548"/>
      <c r="AD89" s="548"/>
      <c r="AE89" s="548"/>
      <c r="AF89" s="548"/>
      <c r="AG89" s="548"/>
      <c r="AH89" s="548"/>
      <c r="AI89" s="485"/>
      <c r="AJ89" s="485"/>
      <c r="AK89" s="485"/>
      <c r="AL89" s="485"/>
      <c r="AM89" s="512"/>
      <c r="AN89" s="512"/>
      <c r="AO89" s="512"/>
      <c r="AP89" s="523"/>
    </row>
    <row r="90" spans="1:42" s="15" customFormat="1" ht="18" customHeight="1">
      <c r="A90" s="561"/>
      <c r="B90" s="562"/>
      <c r="C90" s="472"/>
      <c r="D90" s="472"/>
      <c r="E90" s="472"/>
      <c r="F90" s="472"/>
      <c r="G90" s="557"/>
      <c r="H90" s="557"/>
      <c r="I90" s="557"/>
      <c r="J90" s="557"/>
      <c r="K90" s="557"/>
      <c r="L90" s="557"/>
      <c r="M90" s="557"/>
      <c r="N90" s="557"/>
      <c r="O90" s="557"/>
      <c r="P90" s="557"/>
      <c r="Q90" s="557"/>
      <c r="R90" s="557"/>
      <c r="S90" s="557"/>
      <c r="T90" s="557"/>
      <c r="U90" s="555" t="s">
        <v>152</v>
      </c>
      <c r="V90" s="555"/>
      <c r="W90" s="555"/>
      <c r="X90" s="485"/>
      <c r="Y90" s="485"/>
      <c r="Z90" s="485"/>
      <c r="AA90" s="485"/>
      <c r="AB90" s="548"/>
      <c r="AC90" s="548"/>
      <c r="AD90" s="548"/>
      <c r="AE90" s="548"/>
      <c r="AF90" s="548"/>
      <c r="AG90" s="548"/>
      <c r="AH90" s="548"/>
      <c r="AI90" s="485"/>
      <c r="AJ90" s="485"/>
      <c r="AK90" s="485"/>
      <c r="AL90" s="485"/>
      <c r="AM90" s="512"/>
      <c r="AN90" s="512"/>
      <c r="AO90" s="512"/>
      <c r="AP90" s="523"/>
    </row>
    <row r="91" spans="1:42" s="15" customFormat="1" ht="18" customHeight="1">
      <c r="A91" s="561"/>
      <c r="B91" s="562"/>
      <c r="C91" s="472"/>
      <c r="D91" s="472"/>
      <c r="E91" s="472"/>
      <c r="F91" s="472"/>
      <c r="G91" s="557" t="s">
        <v>463</v>
      </c>
      <c r="H91" s="557"/>
      <c r="I91" s="557"/>
      <c r="J91" s="557"/>
      <c r="K91" s="557"/>
      <c r="L91" s="557"/>
      <c r="M91" s="557"/>
      <c r="N91" s="557"/>
      <c r="O91" s="557"/>
      <c r="P91" s="557"/>
      <c r="Q91" s="557"/>
      <c r="R91" s="557"/>
      <c r="S91" s="557"/>
      <c r="T91" s="557"/>
      <c r="U91" s="555" t="s">
        <v>146</v>
      </c>
      <c r="V91" s="555"/>
      <c r="W91" s="555"/>
      <c r="X91" s="485" t="s">
        <v>147</v>
      </c>
      <c r="Y91" s="485"/>
      <c r="Z91" s="485"/>
      <c r="AA91" s="485"/>
      <c r="AB91" s="548"/>
      <c r="AC91" s="548"/>
      <c r="AD91" s="548"/>
      <c r="AE91" s="548"/>
      <c r="AF91" s="548"/>
      <c r="AG91" s="548"/>
      <c r="AH91" s="548"/>
      <c r="AI91" s="485" t="s">
        <v>111</v>
      </c>
      <c r="AJ91" s="485"/>
      <c r="AK91" s="485"/>
      <c r="AL91" s="485"/>
      <c r="AM91" s="512"/>
      <c r="AN91" s="512"/>
      <c r="AO91" s="512"/>
      <c r="AP91" s="523"/>
    </row>
    <row r="92" spans="1:42" s="15" customFormat="1" ht="18" customHeight="1">
      <c r="A92" s="561"/>
      <c r="B92" s="562"/>
      <c r="C92" s="472"/>
      <c r="D92" s="472"/>
      <c r="E92" s="472"/>
      <c r="F92" s="472"/>
      <c r="G92" s="557"/>
      <c r="H92" s="557"/>
      <c r="I92" s="557"/>
      <c r="J92" s="557"/>
      <c r="K92" s="557"/>
      <c r="L92" s="557"/>
      <c r="M92" s="557"/>
      <c r="N92" s="557"/>
      <c r="O92" s="557"/>
      <c r="P92" s="557"/>
      <c r="Q92" s="557"/>
      <c r="R92" s="557"/>
      <c r="S92" s="557"/>
      <c r="T92" s="557"/>
      <c r="U92" s="555" t="s">
        <v>151</v>
      </c>
      <c r="V92" s="555"/>
      <c r="W92" s="555"/>
      <c r="X92" s="485"/>
      <c r="Y92" s="485"/>
      <c r="Z92" s="485"/>
      <c r="AA92" s="485"/>
      <c r="AB92" s="548"/>
      <c r="AC92" s="548"/>
      <c r="AD92" s="548"/>
      <c r="AE92" s="548"/>
      <c r="AF92" s="548"/>
      <c r="AG92" s="548"/>
      <c r="AH92" s="548"/>
      <c r="AI92" s="485"/>
      <c r="AJ92" s="485"/>
      <c r="AK92" s="485"/>
      <c r="AL92" s="485"/>
      <c r="AM92" s="512"/>
      <c r="AN92" s="512"/>
      <c r="AO92" s="512"/>
      <c r="AP92" s="523"/>
    </row>
    <row r="93" spans="1:42" s="15" customFormat="1" ht="18" customHeight="1">
      <c r="A93" s="561"/>
      <c r="B93" s="562"/>
      <c r="C93" s="472"/>
      <c r="D93" s="472"/>
      <c r="E93" s="472"/>
      <c r="F93" s="472"/>
      <c r="G93" s="557"/>
      <c r="H93" s="557"/>
      <c r="I93" s="557"/>
      <c r="J93" s="557"/>
      <c r="K93" s="557"/>
      <c r="L93" s="557"/>
      <c r="M93" s="557"/>
      <c r="N93" s="557"/>
      <c r="O93" s="557"/>
      <c r="P93" s="557"/>
      <c r="Q93" s="557"/>
      <c r="R93" s="557"/>
      <c r="S93" s="557"/>
      <c r="T93" s="557"/>
      <c r="U93" s="555" t="s">
        <v>149</v>
      </c>
      <c r="V93" s="555"/>
      <c r="W93" s="555"/>
      <c r="X93" s="485"/>
      <c r="Y93" s="485"/>
      <c r="Z93" s="485"/>
      <c r="AA93" s="485"/>
      <c r="AB93" s="548"/>
      <c r="AC93" s="548"/>
      <c r="AD93" s="548"/>
      <c r="AE93" s="548"/>
      <c r="AF93" s="548"/>
      <c r="AG93" s="548"/>
      <c r="AH93" s="548"/>
      <c r="AI93" s="485"/>
      <c r="AJ93" s="485"/>
      <c r="AK93" s="485"/>
      <c r="AL93" s="485"/>
      <c r="AM93" s="512"/>
      <c r="AN93" s="512"/>
      <c r="AO93" s="512"/>
      <c r="AP93" s="523"/>
    </row>
    <row r="94" spans="1:42" s="15" customFormat="1" ht="18" customHeight="1">
      <c r="A94" s="561"/>
      <c r="B94" s="562"/>
      <c r="C94" s="472"/>
      <c r="D94" s="472"/>
      <c r="E94" s="472"/>
      <c r="F94" s="472"/>
      <c r="G94" s="547" t="s">
        <v>153</v>
      </c>
      <c r="H94" s="547"/>
      <c r="I94" s="547"/>
      <c r="J94" s="547"/>
      <c r="K94" s="547"/>
      <c r="L94" s="547"/>
      <c r="M94" s="547"/>
      <c r="N94" s="547"/>
      <c r="O94" s="547"/>
      <c r="P94" s="547"/>
      <c r="Q94" s="547"/>
      <c r="R94" s="547"/>
      <c r="S94" s="547"/>
      <c r="T94" s="547"/>
      <c r="U94" s="547"/>
      <c r="V94" s="547"/>
      <c r="W94" s="547"/>
      <c r="X94" s="558"/>
      <c r="Y94" s="558"/>
      <c r="Z94" s="558"/>
      <c r="AA94" s="558"/>
      <c r="AB94" s="512">
        <f>SUM(AB85:AH93)</f>
        <v>0</v>
      </c>
      <c r="AC94" s="512"/>
      <c r="AD94" s="512"/>
      <c r="AE94" s="512"/>
      <c r="AF94" s="512"/>
      <c r="AG94" s="512"/>
      <c r="AH94" s="512"/>
      <c r="AI94" s="551"/>
      <c r="AJ94" s="551"/>
      <c r="AK94" s="551"/>
      <c r="AL94" s="551"/>
      <c r="AM94" s="512">
        <f>SUM(AM85:AP93)</f>
        <v>0</v>
      </c>
      <c r="AN94" s="512"/>
      <c r="AO94" s="512"/>
      <c r="AP94" s="523"/>
    </row>
    <row r="95" spans="1:42" s="15" customFormat="1" ht="18" customHeight="1">
      <c r="A95" s="561"/>
      <c r="B95" s="562"/>
      <c r="C95" s="549" t="s">
        <v>154</v>
      </c>
      <c r="D95" s="549"/>
      <c r="E95" s="549"/>
      <c r="F95" s="549"/>
      <c r="G95" s="550" t="s">
        <v>155</v>
      </c>
      <c r="H95" s="550"/>
      <c r="I95" s="550"/>
      <c r="J95" s="550"/>
      <c r="K95" s="550"/>
      <c r="L95" s="550"/>
      <c r="M95" s="550"/>
      <c r="N95" s="550"/>
      <c r="O95" s="550"/>
      <c r="P95" s="550"/>
      <c r="Q95" s="550"/>
      <c r="R95" s="550"/>
      <c r="S95" s="550"/>
      <c r="T95" s="550"/>
      <c r="U95" s="550"/>
      <c r="V95" s="550"/>
      <c r="W95" s="550"/>
      <c r="X95" s="485" t="s">
        <v>156</v>
      </c>
      <c r="Y95" s="485"/>
      <c r="Z95" s="485"/>
      <c r="AA95" s="485"/>
      <c r="AB95" s="512">
        <f>G29+G31+G33</f>
        <v>0</v>
      </c>
      <c r="AC95" s="512"/>
      <c r="AD95" s="512"/>
      <c r="AE95" s="512"/>
      <c r="AF95" s="512"/>
      <c r="AG95" s="512"/>
      <c r="AH95" s="512"/>
      <c r="AI95" s="551"/>
      <c r="AJ95" s="551"/>
      <c r="AK95" s="551"/>
      <c r="AL95" s="551"/>
      <c r="AM95" s="552"/>
      <c r="AN95" s="552"/>
      <c r="AO95" s="552"/>
      <c r="AP95" s="553"/>
    </row>
    <row r="96" spans="1:42" s="15" customFormat="1" ht="18" customHeight="1">
      <c r="A96" s="561"/>
      <c r="B96" s="562"/>
      <c r="C96" s="549"/>
      <c r="D96" s="549"/>
      <c r="E96" s="549"/>
      <c r="F96" s="549"/>
      <c r="G96" s="550" t="s">
        <v>157</v>
      </c>
      <c r="H96" s="550"/>
      <c r="I96" s="550"/>
      <c r="J96" s="550"/>
      <c r="K96" s="550"/>
      <c r="L96" s="550"/>
      <c r="M96" s="550"/>
      <c r="N96" s="550"/>
      <c r="O96" s="550"/>
      <c r="P96" s="550"/>
      <c r="Q96" s="550"/>
      <c r="R96" s="550"/>
      <c r="S96" s="550"/>
      <c r="T96" s="550"/>
      <c r="U96" s="550"/>
      <c r="V96" s="550"/>
      <c r="W96" s="550"/>
      <c r="X96" s="485" t="s">
        <v>156</v>
      </c>
      <c r="Y96" s="485"/>
      <c r="Z96" s="485"/>
      <c r="AA96" s="485"/>
      <c r="AB96" s="512">
        <f>N29+N31+N33</f>
        <v>0</v>
      </c>
      <c r="AC96" s="512"/>
      <c r="AD96" s="512"/>
      <c r="AE96" s="512"/>
      <c r="AF96" s="512"/>
      <c r="AG96" s="512"/>
      <c r="AH96" s="512"/>
      <c r="AI96" s="551"/>
      <c r="AJ96" s="551"/>
      <c r="AK96" s="551"/>
      <c r="AL96" s="551"/>
      <c r="AM96" s="552"/>
      <c r="AN96" s="552"/>
      <c r="AO96" s="552"/>
      <c r="AP96" s="553"/>
    </row>
    <row r="97" spans="1:42" s="15" customFormat="1" ht="18" customHeight="1">
      <c r="A97" s="561"/>
      <c r="B97" s="562"/>
      <c r="C97" s="549"/>
      <c r="D97" s="549"/>
      <c r="E97" s="549"/>
      <c r="F97" s="549"/>
      <c r="G97" s="550" t="s">
        <v>158</v>
      </c>
      <c r="H97" s="550"/>
      <c r="I97" s="550"/>
      <c r="J97" s="550"/>
      <c r="K97" s="550"/>
      <c r="L97" s="550"/>
      <c r="M97" s="550"/>
      <c r="N97" s="550"/>
      <c r="O97" s="550"/>
      <c r="P97" s="550"/>
      <c r="Q97" s="550"/>
      <c r="R97" s="550"/>
      <c r="S97" s="550"/>
      <c r="T97" s="550"/>
      <c r="U97" s="550"/>
      <c r="V97" s="550"/>
      <c r="W97" s="550"/>
      <c r="X97" s="485" t="s">
        <v>159</v>
      </c>
      <c r="Y97" s="485"/>
      <c r="Z97" s="485"/>
      <c r="AA97" s="485"/>
      <c r="AB97" s="512">
        <f>U29+U31+U33</f>
        <v>0</v>
      </c>
      <c r="AC97" s="512"/>
      <c r="AD97" s="512"/>
      <c r="AE97" s="512"/>
      <c r="AF97" s="512"/>
      <c r="AG97" s="512"/>
      <c r="AH97" s="512"/>
      <c r="AI97" s="551"/>
      <c r="AJ97" s="551"/>
      <c r="AK97" s="551"/>
      <c r="AL97" s="551"/>
      <c r="AM97" s="552"/>
      <c r="AN97" s="552"/>
      <c r="AO97" s="552"/>
      <c r="AP97" s="553"/>
    </row>
    <row r="98" spans="1:42" s="15" customFormat="1" ht="18" customHeight="1">
      <c r="A98" s="561"/>
      <c r="B98" s="562"/>
      <c r="C98" s="549"/>
      <c r="D98" s="549"/>
      <c r="E98" s="549"/>
      <c r="F98" s="549"/>
      <c r="G98" s="556" t="s">
        <v>160</v>
      </c>
      <c r="H98" s="556"/>
      <c r="I98" s="556"/>
      <c r="J98" s="556"/>
      <c r="K98" s="556"/>
      <c r="L98" s="556"/>
      <c r="M98" s="556"/>
      <c r="N98" s="556"/>
      <c r="O98" s="556"/>
      <c r="P98" s="556"/>
      <c r="Q98" s="556"/>
      <c r="R98" s="556"/>
      <c r="S98" s="556"/>
      <c r="T98" s="556"/>
      <c r="U98" s="556"/>
      <c r="V98" s="556"/>
      <c r="W98" s="556"/>
      <c r="X98" s="485" t="s">
        <v>159</v>
      </c>
      <c r="Y98" s="485"/>
      <c r="Z98" s="485"/>
      <c r="AA98" s="485"/>
      <c r="AB98" s="512">
        <f>Y29+AB29+Y31+AB31+Y33+AB33</f>
        <v>0</v>
      </c>
      <c r="AC98" s="512"/>
      <c r="AD98" s="512"/>
      <c r="AE98" s="512"/>
      <c r="AF98" s="512"/>
      <c r="AG98" s="512"/>
      <c r="AH98" s="512"/>
      <c r="AI98" s="551"/>
      <c r="AJ98" s="551"/>
      <c r="AK98" s="551"/>
      <c r="AL98" s="551"/>
      <c r="AM98" s="552"/>
      <c r="AN98" s="552"/>
      <c r="AO98" s="552"/>
      <c r="AP98" s="553"/>
    </row>
    <row r="99" spans="1:42" s="15" customFormat="1" ht="18" customHeight="1">
      <c r="A99" s="561"/>
      <c r="B99" s="562"/>
      <c r="C99" s="549"/>
      <c r="D99" s="549"/>
      <c r="E99" s="549"/>
      <c r="F99" s="549"/>
      <c r="G99" s="550" t="s">
        <v>161</v>
      </c>
      <c r="H99" s="550"/>
      <c r="I99" s="550"/>
      <c r="J99" s="550"/>
      <c r="K99" s="550"/>
      <c r="L99" s="550"/>
      <c r="M99" s="550"/>
      <c r="N99" s="550"/>
      <c r="O99" s="550"/>
      <c r="P99" s="550"/>
      <c r="Q99" s="550"/>
      <c r="R99" s="550"/>
      <c r="S99" s="550"/>
      <c r="T99" s="550"/>
      <c r="U99" s="550"/>
      <c r="V99" s="550"/>
      <c r="W99" s="550"/>
      <c r="X99" s="485" t="s">
        <v>156</v>
      </c>
      <c r="Y99" s="485"/>
      <c r="Z99" s="485"/>
      <c r="AA99" s="485"/>
      <c r="AB99" s="512">
        <f>+AE29+AH29+AE31+AH31+AE33+AH33</f>
        <v>0</v>
      </c>
      <c r="AC99" s="512"/>
      <c r="AD99" s="512"/>
      <c r="AE99" s="512"/>
      <c r="AF99" s="512"/>
      <c r="AG99" s="512"/>
      <c r="AH99" s="512"/>
      <c r="AI99" s="551"/>
      <c r="AJ99" s="551"/>
      <c r="AK99" s="551"/>
      <c r="AL99" s="551"/>
      <c r="AM99" s="552"/>
      <c r="AN99" s="552"/>
      <c r="AO99" s="552"/>
      <c r="AP99" s="553"/>
    </row>
    <row r="100" spans="1:42" s="15" customFormat="1" ht="18" customHeight="1">
      <c r="A100" s="561"/>
      <c r="B100" s="562"/>
      <c r="C100" s="549"/>
      <c r="D100" s="549"/>
      <c r="E100" s="549"/>
      <c r="F100" s="549"/>
      <c r="G100" s="550" t="s">
        <v>162</v>
      </c>
      <c r="H100" s="550"/>
      <c r="I100" s="550"/>
      <c r="J100" s="550"/>
      <c r="K100" s="550"/>
      <c r="L100" s="550"/>
      <c r="M100" s="550"/>
      <c r="N100" s="550"/>
      <c r="O100" s="550"/>
      <c r="P100" s="550"/>
      <c r="Q100" s="550"/>
      <c r="R100" s="550"/>
      <c r="S100" s="550"/>
      <c r="T100" s="550"/>
      <c r="U100" s="550"/>
      <c r="V100" s="550"/>
      <c r="W100" s="550"/>
      <c r="X100" s="485" t="s">
        <v>156</v>
      </c>
      <c r="Y100" s="485"/>
      <c r="Z100" s="485"/>
      <c r="AA100" s="485"/>
      <c r="AB100" s="512">
        <f>+AK29+AK31+AK33</f>
        <v>0</v>
      </c>
      <c r="AC100" s="512"/>
      <c r="AD100" s="512"/>
      <c r="AE100" s="512"/>
      <c r="AF100" s="512"/>
      <c r="AG100" s="512"/>
      <c r="AH100" s="512"/>
      <c r="AI100" s="551"/>
      <c r="AJ100" s="551"/>
      <c r="AK100" s="551"/>
      <c r="AL100" s="551"/>
      <c r="AM100" s="552"/>
      <c r="AN100" s="552"/>
      <c r="AO100" s="552"/>
      <c r="AP100" s="553"/>
    </row>
    <row r="101" spans="1:42" s="15" customFormat="1" ht="18" customHeight="1">
      <c r="A101" s="561"/>
      <c r="B101" s="562"/>
      <c r="C101" s="549"/>
      <c r="D101" s="549"/>
      <c r="E101" s="549"/>
      <c r="F101" s="549"/>
      <c r="G101" s="554" t="s">
        <v>467</v>
      </c>
      <c r="H101" s="554"/>
      <c r="I101" s="554"/>
      <c r="J101" s="554"/>
      <c r="K101" s="554"/>
      <c r="L101" s="554"/>
      <c r="M101" s="554"/>
      <c r="N101" s="554"/>
      <c r="O101" s="554"/>
      <c r="P101" s="554"/>
      <c r="Q101" s="554"/>
      <c r="R101" s="554"/>
      <c r="S101" s="554"/>
      <c r="T101" s="554"/>
      <c r="U101" s="554"/>
      <c r="V101" s="554"/>
      <c r="W101" s="554"/>
      <c r="X101" s="551"/>
      <c r="Y101" s="551"/>
      <c r="Z101" s="551"/>
      <c r="AA101" s="551"/>
      <c r="AB101" s="512">
        <f>SUM(AB95:AH100)</f>
        <v>0</v>
      </c>
      <c r="AC101" s="512"/>
      <c r="AD101" s="512"/>
      <c r="AE101" s="512"/>
      <c r="AF101" s="512"/>
      <c r="AG101" s="512"/>
      <c r="AH101" s="512"/>
      <c r="AI101" s="551"/>
      <c r="AJ101" s="551"/>
      <c r="AK101" s="551"/>
      <c r="AL101" s="551"/>
      <c r="AM101" s="512"/>
      <c r="AN101" s="512"/>
      <c r="AO101" s="512"/>
      <c r="AP101" s="523"/>
    </row>
    <row r="102" spans="1:42" s="15" customFormat="1" ht="18" customHeight="1">
      <c r="A102" s="561"/>
      <c r="B102" s="562"/>
      <c r="C102" s="547" t="s">
        <v>163</v>
      </c>
      <c r="D102" s="547"/>
      <c r="E102" s="547"/>
      <c r="F102" s="547"/>
      <c r="G102" s="547"/>
      <c r="H102" s="547"/>
      <c r="I102" s="547"/>
      <c r="J102" s="547"/>
      <c r="K102" s="547"/>
      <c r="L102" s="547"/>
      <c r="M102" s="547"/>
      <c r="N102" s="547"/>
      <c r="O102" s="547"/>
      <c r="P102" s="547"/>
      <c r="Q102" s="547"/>
      <c r="R102" s="547"/>
      <c r="S102" s="547"/>
      <c r="T102" s="547"/>
      <c r="U102" s="547"/>
      <c r="V102" s="547"/>
      <c r="W102" s="547"/>
      <c r="X102" s="485" t="s">
        <v>164</v>
      </c>
      <c r="Y102" s="485"/>
      <c r="Z102" s="485"/>
      <c r="AA102" s="485"/>
      <c r="AB102" s="548"/>
      <c r="AC102" s="548"/>
      <c r="AD102" s="548"/>
      <c r="AE102" s="548"/>
      <c r="AF102" s="548"/>
      <c r="AG102" s="548"/>
      <c r="AH102" s="548"/>
      <c r="AI102" s="485" t="s">
        <v>111</v>
      </c>
      <c r="AJ102" s="485"/>
      <c r="AK102" s="485"/>
      <c r="AL102" s="485"/>
      <c r="AM102" s="512"/>
      <c r="AN102" s="512"/>
      <c r="AO102" s="512"/>
      <c r="AP102" s="523"/>
    </row>
    <row r="103" spans="1:42" s="15" customFormat="1" ht="18" customHeight="1">
      <c r="A103" s="561"/>
      <c r="B103" s="562"/>
      <c r="C103" s="547" t="s">
        <v>165</v>
      </c>
      <c r="D103" s="547"/>
      <c r="E103" s="547"/>
      <c r="F103" s="547"/>
      <c r="G103" s="547"/>
      <c r="H103" s="547"/>
      <c r="I103" s="547"/>
      <c r="J103" s="547"/>
      <c r="K103" s="547"/>
      <c r="L103" s="547"/>
      <c r="M103" s="547"/>
      <c r="N103" s="547"/>
      <c r="O103" s="547"/>
      <c r="P103" s="547"/>
      <c r="Q103" s="547"/>
      <c r="R103" s="547"/>
      <c r="S103" s="547"/>
      <c r="T103" s="547"/>
      <c r="U103" s="547"/>
      <c r="V103" s="547"/>
      <c r="W103" s="547"/>
      <c r="X103" s="485" t="s">
        <v>166</v>
      </c>
      <c r="Y103" s="485"/>
      <c r="Z103" s="485"/>
      <c r="AA103" s="485"/>
      <c r="AB103" s="548"/>
      <c r="AC103" s="548"/>
      <c r="AD103" s="548"/>
      <c r="AE103" s="548"/>
      <c r="AF103" s="548"/>
      <c r="AG103" s="548"/>
      <c r="AH103" s="548"/>
      <c r="AI103" s="485" t="s">
        <v>111</v>
      </c>
      <c r="AJ103" s="485"/>
      <c r="AK103" s="485"/>
      <c r="AL103" s="485"/>
      <c r="AM103" s="512"/>
      <c r="AN103" s="512"/>
      <c r="AO103" s="512"/>
      <c r="AP103" s="523"/>
    </row>
    <row r="104" spans="1:42" s="15" customFormat="1" ht="18" customHeight="1">
      <c r="A104" s="563"/>
      <c r="B104" s="564"/>
      <c r="C104" s="387" t="s">
        <v>167</v>
      </c>
      <c r="D104" s="387"/>
      <c r="E104" s="387"/>
      <c r="F104" s="387"/>
      <c r="G104" s="387"/>
      <c r="H104" s="387"/>
      <c r="I104" s="387"/>
      <c r="J104" s="387"/>
      <c r="K104" s="387"/>
      <c r="L104" s="387"/>
      <c r="M104" s="387"/>
      <c r="N104" s="387"/>
      <c r="O104" s="387"/>
      <c r="P104" s="387"/>
      <c r="Q104" s="387"/>
      <c r="R104" s="387"/>
      <c r="S104" s="387"/>
      <c r="T104" s="387"/>
      <c r="U104" s="387"/>
      <c r="V104" s="387"/>
      <c r="W104" s="387"/>
      <c r="X104" s="538" t="s">
        <v>138</v>
      </c>
      <c r="Y104" s="538"/>
      <c r="Z104" s="538"/>
      <c r="AA104" s="538"/>
      <c r="AB104" s="539"/>
      <c r="AC104" s="539"/>
      <c r="AD104" s="539"/>
      <c r="AE104" s="539"/>
      <c r="AF104" s="539"/>
      <c r="AG104" s="539"/>
      <c r="AH104" s="539"/>
      <c r="AI104" s="538" t="s">
        <v>139</v>
      </c>
      <c r="AJ104" s="538"/>
      <c r="AK104" s="538"/>
      <c r="AL104" s="538"/>
      <c r="AM104" s="540"/>
      <c r="AN104" s="540"/>
      <c r="AO104" s="540"/>
      <c r="AP104" s="541"/>
    </row>
    <row r="105" spans="1:42" s="15" customFormat="1" ht="18" customHeight="1">
      <c r="A105" s="565"/>
      <c r="B105" s="566"/>
      <c r="C105" s="542" t="s">
        <v>168</v>
      </c>
      <c r="D105" s="542"/>
      <c r="E105" s="542"/>
      <c r="F105" s="542"/>
      <c r="G105" s="542"/>
      <c r="H105" s="542"/>
      <c r="I105" s="542"/>
      <c r="J105" s="542"/>
      <c r="K105" s="542"/>
      <c r="L105" s="542"/>
      <c r="M105" s="542"/>
      <c r="N105" s="542"/>
      <c r="O105" s="542"/>
      <c r="P105" s="542"/>
      <c r="Q105" s="542"/>
      <c r="R105" s="542"/>
      <c r="S105" s="542"/>
      <c r="T105" s="542"/>
      <c r="U105" s="542"/>
      <c r="V105" s="542"/>
      <c r="W105" s="542"/>
      <c r="X105" s="543" t="s">
        <v>138</v>
      </c>
      <c r="Y105" s="543"/>
      <c r="Z105" s="543"/>
      <c r="AA105" s="543"/>
      <c r="AB105" s="544"/>
      <c r="AC105" s="544"/>
      <c r="AD105" s="544"/>
      <c r="AE105" s="544"/>
      <c r="AF105" s="544"/>
      <c r="AG105" s="544"/>
      <c r="AH105" s="544"/>
      <c r="AI105" s="543" t="s">
        <v>111</v>
      </c>
      <c r="AJ105" s="543"/>
      <c r="AK105" s="543"/>
      <c r="AL105" s="543"/>
      <c r="AM105" s="545"/>
      <c r="AN105" s="545"/>
      <c r="AO105" s="545"/>
      <c r="AP105" s="546"/>
    </row>
    <row r="106" spans="1:42" s="15" customFormat="1" ht="18" customHeight="1">
      <c r="A106" s="63"/>
      <c r="B106" s="63"/>
      <c r="C106" s="64"/>
      <c r="D106" s="64"/>
      <c r="E106" s="64"/>
      <c r="F106" s="64"/>
      <c r="G106" s="64"/>
      <c r="H106" s="64"/>
      <c r="I106" s="64"/>
      <c r="J106" s="64"/>
      <c r="K106" s="64"/>
      <c r="L106" s="64"/>
      <c r="M106" s="64"/>
      <c r="N106" s="64"/>
      <c r="O106" s="64"/>
      <c r="P106" s="64"/>
      <c r="Q106" s="64"/>
      <c r="R106" s="64"/>
      <c r="S106" s="64"/>
      <c r="T106" s="64"/>
      <c r="U106" s="64"/>
      <c r="V106" s="64"/>
      <c r="W106" s="64"/>
      <c r="X106" s="65"/>
      <c r="Y106" s="65"/>
      <c r="Z106" s="65"/>
      <c r="AA106" s="65"/>
      <c r="AB106" s="66"/>
      <c r="AC106" s="66"/>
      <c r="AD106" s="66"/>
      <c r="AE106" s="66"/>
      <c r="AF106" s="66"/>
      <c r="AG106" s="66"/>
      <c r="AH106" s="66"/>
      <c r="AI106" s="65"/>
      <c r="AJ106" s="65"/>
      <c r="AK106" s="65"/>
      <c r="AL106" s="65"/>
      <c r="AM106" s="66"/>
      <c r="AN106" s="66"/>
      <c r="AO106" s="66"/>
      <c r="AP106" s="66"/>
    </row>
    <row r="107" spans="1:42" ht="15" customHeight="1">
      <c r="A107" s="743" t="s">
        <v>169</v>
      </c>
      <c r="B107" s="743"/>
      <c r="C107" s="743"/>
      <c r="D107" s="743"/>
      <c r="E107" s="743"/>
      <c r="F107" s="743"/>
      <c r="G107" s="743"/>
      <c r="H107" s="743"/>
      <c r="I107" s="743"/>
      <c r="J107" s="743"/>
      <c r="K107" s="743"/>
      <c r="L107" s="743"/>
      <c r="M107" s="743"/>
      <c r="N107" s="743"/>
      <c r="O107" s="743"/>
      <c r="P107" s="743"/>
      <c r="Q107" s="743"/>
      <c r="R107" s="743"/>
      <c r="S107" s="743"/>
      <c r="T107" s="743"/>
      <c r="U107" s="743"/>
      <c r="V107" s="743"/>
      <c r="W107" s="743"/>
      <c r="X107" s="743"/>
      <c r="Y107" s="743"/>
      <c r="Z107" s="743"/>
      <c r="AA107" s="743"/>
      <c r="AB107" s="743"/>
      <c r="AC107" s="743"/>
      <c r="AD107" s="743"/>
      <c r="AE107" s="743"/>
      <c r="AF107" s="743"/>
      <c r="AG107" s="743"/>
      <c r="AH107" s="743"/>
      <c r="AI107" s="743"/>
      <c r="AJ107" s="743"/>
      <c r="AK107" s="743"/>
      <c r="AL107" s="743"/>
      <c r="AM107" s="743"/>
      <c r="AN107" s="743"/>
      <c r="AO107" s="743"/>
      <c r="AP107" s="743"/>
    </row>
    <row r="108" spans="1:42" s="14" customFormat="1" ht="15.6" customHeight="1">
      <c r="A108" s="525" t="s">
        <v>170</v>
      </c>
      <c r="B108" s="526"/>
      <c r="C108" s="526" t="s">
        <v>171</v>
      </c>
      <c r="D108" s="526"/>
      <c r="E108" s="526"/>
      <c r="F108" s="526"/>
      <c r="G108" s="526"/>
      <c r="H108" s="526"/>
      <c r="I108" s="526"/>
      <c r="J108" s="526"/>
      <c r="K108" s="526"/>
      <c r="L108" s="526"/>
      <c r="M108" s="526"/>
      <c r="N108" s="526"/>
      <c r="O108" s="526"/>
      <c r="P108" s="526"/>
      <c r="Q108" s="526"/>
      <c r="R108" s="526"/>
      <c r="S108" s="527" t="s">
        <v>172</v>
      </c>
      <c r="T108" s="527"/>
      <c r="U108" s="527"/>
      <c r="V108" s="527"/>
      <c r="W108" s="527"/>
      <c r="X108" s="527"/>
      <c r="Y108" s="527"/>
      <c r="Z108" s="527"/>
      <c r="AA108" s="527"/>
      <c r="AB108" s="527"/>
      <c r="AC108" s="527"/>
      <c r="AD108" s="527"/>
      <c r="AE108" s="527"/>
      <c r="AF108" s="527"/>
      <c r="AG108" s="527"/>
      <c r="AH108" s="527"/>
      <c r="AI108" s="527"/>
      <c r="AJ108" s="527"/>
      <c r="AK108" s="527"/>
      <c r="AL108" s="527"/>
      <c r="AM108" s="527"/>
      <c r="AN108" s="527"/>
      <c r="AO108" s="527"/>
      <c r="AP108" s="528"/>
    </row>
    <row r="109" spans="1:42" s="14" customFormat="1" ht="15.6" customHeight="1">
      <c r="A109" s="529" t="s">
        <v>173</v>
      </c>
      <c r="B109" s="532" t="s">
        <v>174</v>
      </c>
      <c r="C109" s="535" t="s">
        <v>175</v>
      </c>
      <c r="D109" s="535"/>
      <c r="E109" s="536" t="s">
        <v>176</v>
      </c>
      <c r="F109" s="536"/>
      <c r="G109" s="536"/>
      <c r="H109" s="536"/>
      <c r="I109" s="536"/>
      <c r="J109" s="536"/>
      <c r="K109" s="536"/>
      <c r="L109" s="536"/>
      <c r="M109" s="536"/>
      <c r="N109" s="536"/>
      <c r="O109" s="536"/>
      <c r="P109" s="536"/>
      <c r="Q109" s="536"/>
      <c r="R109" s="536"/>
      <c r="S109" s="536"/>
      <c r="T109" s="536"/>
      <c r="U109" s="536"/>
      <c r="V109" s="536"/>
      <c r="W109" s="536"/>
      <c r="X109" s="536"/>
      <c r="Y109" s="536"/>
      <c r="Z109" s="536"/>
      <c r="AA109" s="536"/>
      <c r="AB109" s="536"/>
      <c r="AC109" s="536"/>
      <c r="AD109" s="536"/>
      <c r="AE109" s="536"/>
      <c r="AF109" s="536"/>
      <c r="AG109" s="536"/>
      <c r="AH109" s="536"/>
      <c r="AI109" s="536"/>
      <c r="AJ109" s="536"/>
      <c r="AK109" s="536"/>
      <c r="AL109" s="536"/>
      <c r="AM109" s="536"/>
      <c r="AN109" s="536"/>
      <c r="AO109" s="536"/>
      <c r="AP109" s="537"/>
    </row>
    <row r="110" spans="1:42" s="14" customFormat="1" ht="15.6" customHeight="1">
      <c r="A110" s="530"/>
      <c r="B110" s="533"/>
      <c r="C110" s="472"/>
      <c r="D110" s="472"/>
      <c r="E110" s="524" t="s">
        <v>177</v>
      </c>
      <c r="F110" s="524"/>
      <c r="G110" s="524"/>
      <c r="H110" s="524"/>
      <c r="I110" s="524"/>
      <c r="J110" s="524"/>
      <c r="K110" s="524"/>
      <c r="L110" s="524"/>
      <c r="M110" s="524"/>
      <c r="N110" s="524"/>
      <c r="O110" s="524"/>
      <c r="P110" s="524"/>
      <c r="Q110" s="524"/>
      <c r="R110" s="524"/>
      <c r="S110" s="446"/>
      <c r="T110" s="446"/>
      <c r="U110" s="446"/>
      <c r="V110" s="446"/>
      <c r="W110" s="446"/>
      <c r="X110" s="512" t="s">
        <v>178</v>
      </c>
      <c r="Y110" s="512"/>
      <c r="Z110" s="512"/>
      <c r="AA110" s="512"/>
      <c r="AB110" s="512"/>
      <c r="AC110" s="512"/>
      <c r="AD110" s="512"/>
      <c r="AE110" s="512"/>
      <c r="AF110" s="512"/>
      <c r="AG110" s="512"/>
      <c r="AH110" s="512"/>
      <c r="AI110" s="512"/>
      <c r="AJ110" s="512"/>
      <c r="AK110" s="512"/>
      <c r="AL110" s="512"/>
      <c r="AM110" s="512"/>
      <c r="AN110" s="512"/>
      <c r="AO110" s="512"/>
      <c r="AP110" s="523"/>
    </row>
    <row r="111" spans="1:42" s="14" customFormat="1" ht="15.6" customHeight="1">
      <c r="A111" s="530"/>
      <c r="B111" s="533"/>
      <c r="C111" s="472"/>
      <c r="D111" s="472"/>
      <c r="E111" s="524" t="s">
        <v>179</v>
      </c>
      <c r="F111" s="524"/>
      <c r="G111" s="524"/>
      <c r="H111" s="524"/>
      <c r="I111" s="524"/>
      <c r="J111" s="524"/>
      <c r="K111" s="524"/>
      <c r="L111" s="524"/>
      <c r="M111" s="524"/>
      <c r="N111" s="524"/>
      <c r="O111" s="524"/>
      <c r="P111" s="524"/>
      <c r="Q111" s="524"/>
      <c r="R111" s="524"/>
      <c r="S111" s="485" t="s">
        <v>180</v>
      </c>
      <c r="T111" s="485"/>
      <c r="U111" s="485"/>
      <c r="V111" s="485"/>
      <c r="W111" s="485"/>
      <c r="X111" s="512"/>
      <c r="Y111" s="512"/>
      <c r="Z111" s="512"/>
      <c r="AA111" s="512"/>
      <c r="AB111" s="512"/>
      <c r="AC111" s="512"/>
      <c r="AD111" s="512"/>
      <c r="AE111" s="485" t="s">
        <v>181</v>
      </c>
      <c r="AF111" s="485"/>
      <c r="AG111" s="485"/>
      <c r="AH111" s="485"/>
      <c r="AI111" s="485"/>
      <c r="AJ111" s="485"/>
      <c r="AK111" s="485"/>
      <c r="AL111" s="485"/>
      <c r="AM111" s="446"/>
      <c r="AN111" s="446"/>
      <c r="AO111" s="446"/>
      <c r="AP111" s="420"/>
    </row>
    <row r="112" spans="1:42" s="14" customFormat="1" ht="15.6" customHeight="1">
      <c r="A112" s="530"/>
      <c r="B112" s="533"/>
      <c r="C112" s="472"/>
      <c r="D112" s="472"/>
      <c r="E112" s="524" t="s">
        <v>182</v>
      </c>
      <c r="F112" s="524"/>
      <c r="G112" s="524"/>
      <c r="H112" s="524"/>
      <c r="I112" s="524"/>
      <c r="J112" s="524"/>
      <c r="K112" s="524"/>
      <c r="L112" s="524"/>
      <c r="M112" s="524"/>
      <c r="N112" s="524"/>
      <c r="O112" s="524"/>
      <c r="P112" s="524"/>
      <c r="Q112" s="524"/>
      <c r="R112" s="524"/>
      <c r="S112" s="485" t="s">
        <v>180</v>
      </c>
      <c r="T112" s="485"/>
      <c r="U112" s="485"/>
      <c r="V112" s="485"/>
      <c r="W112" s="485"/>
      <c r="X112" s="512"/>
      <c r="Y112" s="512"/>
      <c r="Z112" s="512"/>
      <c r="AA112" s="512"/>
      <c r="AB112" s="512"/>
      <c r="AC112" s="512"/>
      <c r="AD112" s="512"/>
      <c r="AE112" s="485" t="s">
        <v>181</v>
      </c>
      <c r="AF112" s="485"/>
      <c r="AG112" s="485"/>
      <c r="AH112" s="485"/>
      <c r="AI112" s="485"/>
      <c r="AJ112" s="485"/>
      <c r="AK112" s="485"/>
      <c r="AL112" s="485"/>
      <c r="AM112" s="446"/>
      <c r="AN112" s="446"/>
      <c r="AO112" s="446"/>
      <c r="AP112" s="420"/>
    </row>
    <row r="113" spans="1:42" s="14" customFormat="1" ht="15.6" customHeight="1">
      <c r="A113" s="530"/>
      <c r="B113" s="533"/>
      <c r="C113" s="524" t="s">
        <v>183</v>
      </c>
      <c r="D113" s="524"/>
      <c r="E113" s="524"/>
      <c r="F113" s="524"/>
      <c r="G113" s="524"/>
      <c r="H113" s="524"/>
      <c r="I113" s="524"/>
      <c r="J113" s="524"/>
      <c r="K113" s="524"/>
      <c r="L113" s="524"/>
      <c r="M113" s="524"/>
      <c r="N113" s="524"/>
      <c r="O113" s="524"/>
      <c r="P113" s="524"/>
      <c r="Q113" s="524"/>
      <c r="R113" s="524"/>
      <c r="S113" s="446" t="s">
        <v>184</v>
      </c>
      <c r="T113" s="446"/>
      <c r="U113" s="446"/>
      <c r="V113" s="446"/>
      <c r="W113" s="446"/>
      <c r="X113" s="512"/>
      <c r="Y113" s="512"/>
      <c r="Z113" s="512"/>
      <c r="AA113" s="512"/>
      <c r="AB113" s="512"/>
      <c r="AC113" s="512"/>
      <c r="AD113" s="512"/>
      <c r="AE113" s="485" t="s">
        <v>185</v>
      </c>
      <c r="AF113" s="485"/>
      <c r="AG113" s="485"/>
      <c r="AH113" s="485"/>
      <c r="AI113" s="485"/>
      <c r="AJ113" s="485"/>
      <c r="AK113" s="485"/>
      <c r="AL113" s="485"/>
      <c r="AM113" s="446"/>
      <c r="AN113" s="446"/>
      <c r="AO113" s="446"/>
      <c r="AP113" s="420"/>
    </row>
    <row r="114" spans="1:42" s="14" customFormat="1" ht="15.6" customHeight="1">
      <c r="A114" s="530"/>
      <c r="B114" s="533"/>
      <c r="C114" s="484" t="s">
        <v>186</v>
      </c>
      <c r="D114" s="484"/>
      <c r="E114" s="484"/>
      <c r="F114" s="484"/>
      <c r="G114" s="484"/>
      <c r="H114" s="484"/>
      <c r="I114" s="484"/>
      <c r="J114" s="484"/>
      <c r="K114" s="484"/>
      <c r="L114" s="484"/>
      <c r="M114" s="484"/>
      <c r="N114" s="484"/>
      <c r="O114" s="484"/>
      <c r="P114" s="484"/>
      <c r="Q114" s="484"/>
      <c r="R114" s="484"/>
      <c r="S114" s="446" t="s">
        <v>184</v>
      </c>
      <c r="T114" s="446"/>
      <c r="U114" s="446"/>
      <c r="V114" s="446"/>
      <c r="W114" s="446"/>
      <c r="X114" s="512"/>
      <c r="Y114" s="512"/>
      <c r="Z114" s="512"/>
      <c r="AA114" s="512"/>
      <c r="AB114" s="512"/>
      <c r="AC114" s="512"/>
      <c r="AD114" s="512"/>
      <c r="AE114" s="485" t="s">
        <v>187</v>
      </c>
      <c r="AF114" s="485"/>
      <c r="AG114" s="485"/>
      <c r="AH114" s="485"/>
      <c r="AI114" s="485"/>
      <c r="AJ114" s="485"/>
      <c r="AK114" s="485"/>
      <c r="AL114" s="485"/>
      <c r="AM114" s="446"/>
      <c r="AN114" s="446"/>
      <c r="AO114" s="446"/>
      <c r="AP114" s="420"/>
    </row>
    <row r="115" spans="1:42" s="14" customFormat="1" ht="15.6" customHeight="1">
      <c r="A115" s="530"/>
      <c r="B115" s="533"/>
      <c r="C115" s="524" t="s">
        <v>188</v>
      </c>
      <c r="D115" s="524"/>
      <c r="E115" s="524"/>
      <c r="F115" s="524"/>
      <c r="G115" s="524"/>
      <c r="H115" s="524"/>
      <c r="I115" s="524"/>
      <c r="J115" s="524"/>
      <c r="K115" s="524"/>
      <c r="L115" s="524"/>
      <c r="M115" s="524"/>
      <c r="N115" s="524"/>
      <c r="O115" s="524"/>
      <c r="P115" s="524"/>
      <c r="Q115" s="524"/>
      <c r="R115" s="524"/>
      <c r="S115" s="446" t="s">
        <v>184</v>
      </c>
      <c r="T115" s="446"/>
      <c r="U115" s="446"/>
      <c r="V115" s="446"/>
      <c r="W115" s="446"/>
      <c r="X115" s="512"/>
      <c r="Y115" s="512"/>
      <c r="Z115" s="512"/>
      <c r="AA115" s="512"/>
      <c r="AB115" s="512"/>
      <c r="AC115" s="512"/>
      <c r="AD115" s="512"/>
      <c r="AE115" s="485" t="s">
        <v>187</v>
      </c>
      <c r="AF115" s="485"/>
      <c r="AG115" s="485"/>
      <c r="AH115" s="485"/>
      <c r="AI115" s="485"/>
      <c r="AJ115" s="485"/>
      <c r="AK115" s="485"/>
      <c r="AL115" s="485"/>
      <c r="AM115" s="446"/>
      <c r="AN115" s="446"/>
      <c r="AO115" s="446"/>
      <c r="AP115" s="420"/>
    </row>
    <row r="116" spans="1:42" s="14" customFormat="1" ht="15.6" customHeight="1">
      <c r="A116" s="530"/>
      <c r="B116" s="534"/>
      <c r="C116" s="518" t="s">
        <v>189</v>
      </c>
      <c r="D116" s="518"/>
      <c r="E116" s="518"/>
      <c r="F116" s="518"/>
      <c r="G116" s="518"/>
      <c r="H116" s="518"/>
      <c r="I116" s="518"/>
      <c r="J116" s="518"/>
      <c r="K116" s="518"/>
      <c r="L116" s="518"/>
      <c r="M116" s="518"/>
      <c r="N116" s="518"/>
      <c r="O116" s="518"/>
      <c r="P116" s="518"/>
      <c r="Q116" s="518"/>
      <c r="R116" s="518"/>
      <c r="S116" s="457" t="s">
        <v>190</v>
      </c>
      <c r="T116" s="457"/>
      <c r="U116" s="457"/>
      <c r="V116" s="457"/>
      <c r="W116" s="457"/>
      <c r="X116" s="519"/>
      <c r="Y116" s="519"/>
      <c r="Z116" s="519"/>
      <c r="AA116" s="519"/>
      <c r="AB116" s="519"/>
      <c r="AC116" s="519"/>
      <c r="AD116" s="519"/>
      <c r="AE116" s="520" t="s">
        <v>191</v>
      </c>
      <c r="AF116" s="520"/>
      <c r="AG116" s="520"/>
      <c r="AH116" s="520"/>
      <c r="AI116" s="520"/>
      <c r="AJ116" s="520"/>
      <c r="AK116" s="520"/>
      <c r="AL116" s="520"/>
      <c r="AM116" s="521"/>
      <c r="AN116" s="521"/>
      <c r="AO116" s="521"/>
      <c r="AP116" s="522"/>
    </row>
    <row r="117" spans="1:42" s="15" customFormat="1" ht="15.6" customHeight="1">
      <c r="A117" s="530"/>
      <c r="B117" s="440" t="s">
        <v>192</v>
      </c>
      <c r="C117" s="443" t="s">
        <v>193</v>
      </c>
      <c r="D117" s="443"/>
      <c r="E117" s="443"/>
      <c r="F117" s="443"/>
      <c r="G117" s="443"/>
      <c r="H117" s="443"/>
      <c r="I117" s="443"/>
      <c r="J117" s="443"/>
      <c r="K117" s="443"/>
      <c r="L117" s="443"/>
      <c r="M117" s="443"/>
      <c r="N117" s="443"/>
      <c r="O117" s="443"/>
      <c r="P117" s="443"/>
      <c r="Q117" s="443"/>
      <c r="R117" s="443" t="s">
        <v>194</v>
      </c>
      <c r="S117" s="443"/>
      <c r="T117" s="443"/>
      <c r="U117" s="443"/>
      <c r="V117" s="443"/>
      <c r="W117" s="443"/>
      <c r="X117" s="443"/>
      <c r="Y117" s="443"/>
      <c r="Z117" s="443" t="s">
        <v>87</v>
      </c>
      <c r="AA117" s="443"/>
      <c r="AB117" s="443"/>
      <c r="AC117" s="443"/>
      <c r="AD117" s="443"/>
      <c r="AE117" s="443" t="s">
        <v>195</v>
      </c>
      <c r="AF117" s="443"/>
      <c r="AG117" s="443"/>
      <c r="AH117" s="443"/>
      <c r="AI117" s="443"/>
      <c r="AJ117" s="513" t="s">
        <v>196</v>
      </c>
      <c r="AK117" s="513"/>
      <c r="AL117" s="513"/>
      <c r="AM117" s="443" t="s">
        <v>197</v>
      </c>
      <c r="AN117" s="443"/>
      <c r="AO117" s="443"/>
      <c r="AP117" s="417"/>
    </row>
    <row r="118" spans="1:42" s="15" customFormat="1" ht="15.6" customHeight="1">
      <c r="A118" s="530"/>
      <c r="B118" s="441"/>
      <c r="C118" s="514" t="s">
        <v>198</v>
      </c>
      <c r="D118" s="456"/>
      <c r="E118" s="515" t="s">
        <v>199</v>
      </c>
      <c r="F118" s="515"/>
      <c r="G118" s="515"/>
      <c r="H118" s="515"/>
      <c r="I118" s="515"/>
      <c r="J118" s="515"/>
      <c r="K118" s="515"/>
      <c r="L118" s="515"/>
      <c r="M118" s="515"/>
      <c r="N118" s="515"/>
      <c r="O118" s="515"/>
      <c r="P118" s="515"/>
      <c r="Q118" s="515"/>
      <c r="R118" s="456" t="s">
        <v>135</v>
      </c>
      <c r="S118" s="456"/>
      <c r="T118" s="456"/>
      <c r="U118" s="456"/>
      <c r="V118" s="516"/>
      <c r="W118" s="516"/>
      <c r="X118" s="516"/>
      <c r="Y118" s="516"/>
      <c r="Z118" s="514" t="s">
        <v>200</v>
      </c>
      <c r="AA118" s="514"/>
      <c r="AB118" s="514"/>
      <c r="AC118" s="514"/>
      <c r="AD118" s="514"/>
      <c r="AE118" s="461"/>
      <c r="AF118" s="461"/>
      <c r="AG118" s="461"/>
      <c r="AH118" s="461"/>
      <c r="AI118" s="461"/>
      <c r="AJ118" s="514" t="s">
        <v>201</v>
      </c>
      <c r="AK118" s="514"/>
      <c r="AL118" s="514"/>
      <c r="AM118" s="461"/>
      <c r="AN118" s="461"/>
      <c r="AO118" s="461"/>
      <c r="AP118" s="517"/>
    </row>
    <row r="119" spans="1:42" s="15" customFormat="1" ht="15.6" customHeight="1">
      <c r="A119" s="530"/>
      <c r="B119" s="441"/>
      <c r="C119" s="446"/>
      <c r="D119" s="446"/>
      <c r="E119" s="451" t="s">
        <v>202</v>
      </c>
      <c r="F119" s="451"/>
      <c r="G119" s="451"/>
      <c r="H119" s="451"/>
      <c r="I119" s="451"/>
      <c r="J119" s="451"/>
      <c r="K119" s="451"/>
      <c r="L119" s="451"/>
      <c r="M119" s="451"/>
      <c r="N119" s="451"/>
      <c r="O119" s="451"/>
      <c r="P119" s="451"/>
      <c r="Q119" s="451"/>
      <c r="R119" s="446" t="s">
        <v>138</v>
      </c>
      <c r="S119" s="446"/>
      <c r="T119" s="446"/>
      <c r="U119" s="446"/>
      <c r="V119" s="447"/>
      <c r="W119" s="447"/>
      <c r="X119" s="447"/>
      <c r="Y119" s="447"/>
      <c r="Z119" s="472"/>
      <c r="AA119" s="472"/>
      <c r="AB119" s="472"/>
      <c r="AC119" s="472"/>
      <c r="AD119" s="472"/>
      <c r="AE119" s="416"/>
      <c r="AF119" s="416"/>
      <c r="AG119" s="416"/>
      <c r="AH119" s="416"/>
      <c r="AI119" s="416"/>
      <c r="AJ119" s="472"/>
      <c r="AK119" s="472"/>
      <c r="AL119" s="472"/>
      <c r="AM119" s="416"/>
      <c r="AN119" s="416"/>
      <c r="AO119" s="416"/>
      <c r="AP119" s="448"/>
    </row>
    <row r="120" spans="1:42" s="15" customFormat="1" ht="15.6" customHeight="1">
      <c r="A120" s="530"/>
      <c r="B120" s="441"/>
      <c r="C120" s="446"/>
      <c r="D120" s="446"/>
      <c r="E120" s="446" t="s">
        <v>203</v>
      </c>
      <c r="F120" s="446"/>
      <c r="G120" s="446"/>
      <c r="H120" s="446"/>
      <c r="I120" s="446"/>
      <c r="J120" s="446"/>
      <c r="K120" s="446"/>
      <c r="L120" s="446"/>
      <c r="M120" s="446"/>
      <c r="N120" s="446"/>
      <c r="O120" s="446"/>
      <c r="P120" s="446"/>
      <c r="Q120" s="446"/>
      <c r="R120" s="446" t="s">
        <v>135</v>
      </c>
      <c r="S120" s="446"/>
      <c r="T120" s="446"/>
      <c r="U120" s="446"/>
      <c r="V120" s="447"/>
      <c r="W120" s="447"/>
      <c r="X120" s="447"/>
      <c r="Y120" s="447"/>
      <c r="Z120" s="472"/>
      <c r="AA120" s="472"/>
      <c r="AB120" s="472"/>
      <c r="AC120" s="472"/>
      <c r="AD120" s="472"/>
      <c r="AE120" s="416"/>
      <c r="AF120" s="416"/>
      <c r="AG120" s="416"/>
      <c r="AH120" s="416"/>
      <c r="AI120" s="416"/>
      <c r="AJ120" s="472"/>
      <c r="AK120" s="472"/>
      <c r="AL120" s="472"/>
      <c r="AM120" s="416"/>
      <c r="AN120" s="416"/>
      <c r="AO120" s="416"/>
      <c r="AP120" s="448"/>
    </row>
    <row r="121" spans="1:42" s="15" customFormat="1" ht="15.6" customHeight="1">
      <c r="A121" s="530"/>
      <c r="B121" s="441"/>
      <c r="C121" s="446"/>
      <c r="D121" s="446"/>
      <c r="E121" s="444" t="s">
        <v>434</v>
      </c>
      <c r="F121" s="445"/>
      <c r="G121" s="445"/>
      <c r="H121" s="445"/>
      <c r="I121" s="445"/>
      <c r="J121" s="445"/>
      <c r="K121" s="445"/>
      <c r="L121" s="445"/>
      <c r="M121" s="445"/>
      <c r="N121" s="445"/>
      <c r="O121" s="445"/>
      <c r="P121" s="445"/>
      <c r="Q121" s="445"/>
      <c r="R121" s="446" t="s">
        <v>138</v>
      </c>
      <c r="S121" s="446"/>
      <c r="T121" s="446"/>
      <c r="U121" s="446"/>
      <c r="V121" s="447"/>
      <c r="W121" s="447"/>
      <c r="X121" s="447"/>
      <c r="Y121" s="447"/>
      <c r="Z121" s="472"/>
      <c r="AA121" s="472"/>
      <c r="AB121" s="472"/>
      <c r="AC121" s="472"/>
      <c r="AD121" s="472"/>
      <c r="AE121" s="416"/>
      <c r="AF121" s="416"/>
      <c r="AG121" s="416"/>
      <c r="AH121" s="416"/>
      <c r="AI121" s="416"/>
      <c r="AJ121" s="472"/>
      <c r="AK121" s="472"/>
      <c r="AL121" s="472"/>
      <c r="AM121" s="416"/>
      <c r="AN121" s="416"/>
      <c r="AO121" s="416"/>
      <c r="AP121" s="448"/>
    </row>
    <row r="122" spans="1:42" s="15" customFormat="1" ht="15.6" customHeight="1">
      <c r="A122" s="530"/>
      <c r="B122" s="441"/>
      <c r="C122" s="457"/>
      <c r="D122" s="457"/>
      <c r="E122" s="449" t="s">
        <v>204</v>
      </c>
      <c r="F122" s="449"/>
      <c r="G122" s="449"/>
      <c r="H122" s="449"/>
      <c r="I122" s="449"/>
      <c r="J122" s="449"/>
      <c r="K122" s="449"/>
      <c r="L122" s="449"/>
      <c r="M122" s="449"/>
      <c r="N122" s="449"/>
      <c r="O122" s="449"/>
      <c r="P122" s="449"/>
      <c r="Q122" s="449"/>
      <c r="R122" s="450"/>
      <c r="S122" s="450"/>
      <c r="T122" s="450"/>
      <c r="U122" s="450"/>
      <c r="V122" s="425">
        <f>SUM(V118:Y121)</f>
        <v>0</v>
      </c>
      <c r="W122" s="425"/>
      <c r="X122" s="425"/>
      <c r="Y122" s="425"/>
      <c r="Z122" s="450"/>
      <c r="AA122" s="450"/>
      <c r="AB122" s="450"/>
      <c r="AC122" s="450"/>
      <c r="AD122" s="450"/>
      <c r="AE122" s="425">
        <f>SUM(AE118:AI121)</f>
        <v>0</v>
      </c>
      <c r="AF122" s="425"/>
      <c r="AG122" s="425"/>
      <c r="AH122" s="425"/>
      <c r="AI122" s="425"/>
      <c r="AJ122" s="505"/>
      <c r="AK122" s="505"/>
      <c r="AL122" s="505"/>
      <c r="AM122" s="425">
        <f>SUM(AM118:AP121)</f>
        <v>0</v>
      </c>
      <c r="AN122" s="425"/>
      <c r="AO122" s="425"/>
      <c r="AP122" s="506"/>
    </row>
    <row r="123" spans="1:42" s="15" customFormat="1" ht="15.6" customHeight="1">
      <c r="A123" s="530"/>
      <c r="B123" s="441"/>
      <c r="C123" s="440" t="s">
        <v>205</v>
      </c>
      <c r="D123" s="440"/>
      <c r="E123" s="508" t="s">
        <v>93</v>
      </c>
      <c r="F123" s="508"/>
      <c r="G123" s="508" t="s">
        <v>206</v>
      </c>
      <c r="H123" s="508"/>
      <c r="I123" s="508"/>
      <c r="J123" s="508"/>
      <c r="K123" s="508"/>
      <c r="L123" s="508"/>
      <c r="M123" s="508"/>
      <c r="N123" s="508"/>
      <c r="O123" s="508"/>
      <c r="P123" s="508"/>
      <c r="Q123" s="508"/>
      <c r="R123" s="508" t="s">
        <v>93</v>
      </c>
      <c r="S123" s="508"/>
      <c r="T123" s="508"/>
      <c r="U123" s="508"/>
      <c r="V123" s="503">
        <f>X16</f>
        <v>0</v>
      </c>
      <c r="W123" s="503"/>
      <c r="X123" s="503"/>
      <c r="Y123" s="503"/>
      <c r="Z123" s="508" t="s">
        <v>207</v>
      </c>
      <c r="AA123" s="508"/>
      <c r="AB123" s="508"/>
      <c r="AC123" s="508"/>
      <c r="AD123" s="508"/>
      <c r="AE123" s="503"/>
      <c r="AF123" s="503"/>
      <c r="AG123" s="503"/>
      <c r="AH123" s="503"/>
      <c r="AI123" s="503"/>
      <c r="AJ123" s="509">
        <v>0.12</v>
      </c>
      <c r="AK123" s="509"/>
      <c r="AL123" s="509"/>
      <c r="AM123" s="503"/>
      <c r="AN123" s="503"/>
      <c r="AO123" s="503"/>
      <c r="AP123" s="504"/>
    </row>
    <row r="124" spans="1:42" s="15" customFormat="1" ht="15.6" customHeight="1">
      <c r="A124" s="530"/>
      <c r="B124" s="441"/>
      <c r="C124" s="441"/>
      <c r="D124" s="441"/>
      <c r="E124" s="446"/>
      <c r="F124" s="446"/>
      <c r="G124" s="446" t="s">
        <v>208</v>
      </c>
      <c r="H124" s="446"/>
      <c r="I124" s="446"/>
      <c r="J124" s="446"/>
      <c r="K124" s="446"/>
      <c r="L124" s="446"/>
      <c r="M124" s="446"/>
      <c r="N124" s="446"/>
      <c r="O124" s="446"/>
      <c r="P124" s="446"/>
      <c r="Q124" s="446"/>
      <c r="R124" s="446" t="s">
        <v>93</v>
      </c>
      <c r="S124" s="446"/>
      <c r="T124" s="446"/>
      <c r="U124" s="446"/>
      <c r="V124" s="416">
        <f>Z16</f>
        <v>0</v>
      </c>
      <c r="W124" s="416"/>
      <c r="X124" s="416"/>
      <c r="Y124" s="416"/>
      <c r="Z124" s="446" t="s">
        <v>209</v>
      </c>
      <c r="AA124" s="446"/>
      <c r="AB124" s="446"/>
      <c r="AC124" s="446"/>
      <c r="AD124" s="446"/>
      <c r="AE124" s="416"/>
      <c r="AF124" s="416"/>
      <c r="AG124" s="416"/>
      <c r="AH124" s="416"/>
      <c r="AI124" s="416"/>
      <c r="AJ124" s="486">
        <v>0.15</v>
      </c>
      <c r="AK124" s="486"/>
      <c r="AL124" s="486"/>
      <c r="AM124" s="416"/>
      <c r="AN124" s="416"/>
      <c r="AO124" s="416"/>
      <c r="AP124" s="448"/>
    </row>
    <row r="125" spans="1:42" s="15" customFormat="1" ht="15.6" customHeight="1">
      <c r="A125" s="530"/>
      <c r="B125" s="441"/>
      <c r="C125" s="441"/>
      <c r="D125" s="441"/>
      <c r="E125" s="446"/>
      <c r="F125" s="446"/>
      <c r="G125" s="497" t="s">
        <v>106</v>
      </c>
      <c r="H125" s="497"/>
      <c r="I125" s="497"/>
      <c r="J125" s="497"/>
      <c r="K125" s="497"/>
      <c r="L125" s="497"/>
      <c r="M125" s="497"/>
      <c r="N125" s="497"/>
      <c r="O125" s="497"/>
      <c r="P125" s="497"/>
      <c r="Q125" s="497"/>
      <c r="R125" s="476"/>
      <c r="S125" s="476"/>
      <c r="T125" s="476"/>
      <c r="U125" s="476"/>
      <c r="V125" s="416">
        <f>SUM(V123:Y124)</f>
        <v>0</v>
      </c>
      <c r="W125" s="416"/>
      <c r="X125" s="416"/>
      <c r="Y125" s="416"/>
      <c r="Z125" s="476"/>
      <c r="AA125" s="476"/>
      <c r="AB125" s="476"/>
      <c r="AC125" s="476"/>
      <c r="AD125" s="476"/>
      <c r="AE125" s="416">
        <f>SUM(AE123:AI124)</f>
        <v>0</v>
      </c>
      <c r="AF125" s="416"/>
      <c r="AG125" s="416"/>
      <c r="AH125" s="416"/>
      <c r="AI125" s="416"/>
      <c r="AJ125" s="472"/>
      <c r="AK125" s="472"/>
      <c r="AL125" s="472"/>
      <c r="AM125" s="416">
        <f>SUM(AM123:AP124)</f>
        <v>0</v>
      </c>
      <c r="AN125" s="416"/>
      <c r="AO125" s="416"/>
      <c r="AP125" s="448"/>
    </row>
    <row r="126" spans="1:42" s="15" customFormat="1" ht="21" customHeight="1">
      <c r="A126" s="530"/>
      <c r="B126" s="441"/>
      <c r="C126" s="441"/>
      <c r="D126" s="441"/>
      <c r="E126" s="446" t="s">
        <v>210</v>
      </c>
      <c r="F126" s="446"/>
      <c r="G126" s="511" t="s">
        <v>211</v>
      </c>
      <c r="H126" s="511"/>
      <c r="I126" s="511"/>
      <c r="J126" s="511"/>
      <c r="K126" s="511"/>
      <c r="L126" s="511"/>
      <c r="M126" s="511"/>
      <c r="N126" s="511"/>
      <c r="O126" s="511"/>
      <c r="P126" s="511"/>
      <c r="Q126" s="511"/>
      <c r="R126" s="446" t="s">
        <v>212</v>
      </c>
      <c r="S126" s="446"/>
      <c r="T126" s="446"/>
      <c r="U126" s="446"/>
      <c r="V126" s="416">
        <f>AB18</f>
        <v>0</v>
      </c>
      <c r="W126" s="416"/>
      <c r="X126" s="416"/>
      <c r="Y126" s="416"/>
      <c r="Z126" s="488" t="s">
        <v>200</v>
      </c>
      <c r="AA126" s="489"/>
      <c r="AB126" s="489"/>
      <c r="AC126" s="489"/>
      <c r="AD126" s="490"/>
      <c r="AE126" s="416"/>
      <c r="AF126" s="416"/>
      <c r="AG126" s="416"/>
      <c r="AH126" s="416"/>
      <c r="AI126" s="416"/>
      <c r="AJ126" s="486">
        <v>0.15</v>
      </c>
      <c r="AK126" s="486"/>
      <c r="AL126" s="486"/>
      <c r="AM126" s="416"/>
      <c r="AN126" s="416"/>
      <c r="AO126" s="416"/>
      <c r="AP126" s="448"/>
    </row>
    <row r="127" spans="1:42" s="15" customFormat="1" ht="15.6" customHeight="1">
      <c r="A127" s="530"/>
      <c r="B127" s="441"/>
      <c r="C127" s="441"/>
      <c r="D127" s="441"/>
      <c r="E127" s="446"/>
      <c r="F127" s="446"/>
      <c r="G127" s="446" t="s">
        <v>213</v>
      </c>
      <c r="H127" s="446"/>
      <c r="I127" s="446"/>
      <c r="J127" s="446"/>
      <c r="K127" s="446"/>
      <c r="L127" s="446"/>
      <c r="M127" s="446"/>
      <c r="N127" s="446"/>
      <c r="O127" s="446"/>
      <c r="P127" s="446"/>
      <c r="Q127" s="446"/>
      <c r="R127" s="446" t="s">
        <v>214</v>
      </c>
      <c r="S127" s="446"/>
      <c r="T127" s="446"/>
      <c r="U127" s="446"/>
      <c r="V127" s="416">
        <f>+AE16</f>
        <v>0</v>
      </c>
      <c r="W127" s="416"/>
      <c r="X127" s="416"/>
      <c r="Y127" s="416"/>
      <c r="Z127" s="491"/>
      <c r="AA127" s="492"/>
      <c r="AB127" s="492"/>
      <c r="AC127" s="492"/>
      <c r="AD127" s="493"/>
      <c r="AE127" s="416"/>
      <c r="AF127" s="416"/>
      <c r="AG127" s="416"/>
      <c r="AH127" s="416"/>
      <c r="AI127" s="416"/>
      <c r="AJ127" s="510">
        <v>0.3</v>
      </c>
      <c r="AK127" s="510"/>
      <c r="AL127" s="510"/>
      <c r="AM127" s="416"/>
      <c r="AN127" s="416"/>
      <c r="AO127" s="416"/>
      <c r="AP127" s="448"/>
    </row>
    <row r="128" spans="1:42" s="15" customFormat="1" ht="15.6" customHeight="1">
      <c r="A128" s="530"/>
      <c r="B128" s="441"/>
      <c r="C128" s="441"/>
      <c r="D128" s="441"/>
      <c r="E128" s="446"/>
      <c r="F128" s="446"/>
      <c r="G128" s="452" t="s">
        <v>215</v>
      </c>
      <c r="H128" s="452"/>
      <c r="I128" s="452"/>
      <c r="J128" s="452"/>
      <c r="K128" s="452"/>
      <c r="L128" s="452"/>
      <c r="M128" s="452"/>
      <c r="N128" s="452"/>
      <c r="O128" s="452"/>
      <c r="P128" s="452"/>
      <c r="Q128" s="452"/>
      <c r="R128" s="452" t="s">
        <v>214</v>
      </c>
      <c r="S128" s="452"/>
      <c r="T128" s="452"/>
      <c r="U128" s="452"/>
      <c r="V128" s="416">
        <f>+AC16</f>
        <v>0</v>
      </c>
      <c r="W128" s="416"/>
      <c r="X128" s="416"/>
      <c r="Y128" s="416"/>
      <c r="Z128" s="491"/>
      <c r="AA128" s="492"/>
      <c r="AB128" s="492"/>
      <c r="AC128" s="492"/>
      <c r="AD128" s="493"/>
      <c r="AE128" s="416"/>
      <c r="AF128" s="416"/>
      <c r="AG128" s="416"/>
      <c r="AH128" s="416"/>
      <c r="AI128" s="416"/>
      <c r="AJ128" s="510">
        <v>0.2</v>
      </c>
      <c r="AK128" s="510"/>
      <c r="AL128" s="510"/>
      <c r="AM128" s="416"/>
      <c r="AN128" s="416"/>
      <c r="AO128" s="416"/>
      <c r="AP128" s="448"/>
    </row>
    <row r="129" spans="1:42" s="15" customFormat="1" ht="15.6" customHeight="1">
      <c r="A129" s="530"/>
      <c r="B129" s="441"/>
      <c r="C129" s="441"/>
      <c r="D129" s="441"/>
      <c r="E129" s="446"/>
      <c r="F129" s="446"/>
      <c r="G129" s="446" t="s">
        <v>216</v>
      </c>
      <c r="H129" s="446"/>
      <c r="I129" s="446"/>
      <c r="J129" s="446"/>
      <c r="K129" s="446"/>
      <c r="L129" s="446"/>
      <c r="M129" s="446"/>
      <c r="N129" s="446"/>
      <c r="O129" s="446"/>
      <c r="P129" s="446"/>
      <c r="Q129" s="446"/>
      <c r="R129" s="446" t="s">
        <v>214</v>
      </c>
      <c r="S129" s="446"/>
      <c r="T129" s="446"/>
      <c r="U129" s="446"/>
      <c r="V129" s="416">
        <f>AB20+AB22</f>
        <v>0</v>
      </c>
      <c r="W129" s="416"/>
      <c r="X129" s="416"/>
      <c r="Y129" s="416"/>
      <c r="Z129" s="494"/>
      <c r="AA129" s="495"/>
      <c r="AB129" s="495"/>
      <c r="AC129" s="495"/>
      <c r="AD129" s="496"/>
      <c r="AE129" s="416"/>
      <c r="AF129" s="416"/>
      <c r="AG129" s="416"/>
      <c r="AH129" s="416"/>
      <c r="AI129" s="416"/>
      <c r="AJ129" s="486">
        <v>0.15</v>
      </c>
      <c r="AK129" s="486"/>
      <c r="AL129" s="486"/>
      <c r="AM129" s="416"/>
      <c r="AN129" s="416"/>
      <c r="AO129" s="416"/>
      <c r="AP129" s="448"/>
    </row>
    <row r="130" spans="1:42" s="15" customFormat="1" ht="15.6" customHeight="1">
      <c r="A130" s="530"/>
      <c r="B130" s="441"/>
      <c r="C130" s="441"/>
      <c r="D130" s="441"/>
      <c r="E130" s="446"/>
      <c r="F130" s="446"/>
      <c r="G130" s="446" t="s">
        <v>217</v>
      </c>
      <c r="H130" s="446"/>
      <c r="I130" s="446"/>
      <c r="J130" s="446"/>
      <c r="K130" s="446"/>
      <c r="L130" s="446"/>
      <c r="M130" s="446"/>
      <c r="N130" s="446"/>
      <c r="O130" s="446"/>
      <c r="P130" s="446"/>
      <c r="Q130" s="446"/>
      <c r="R130" s="446" t="s">
        <v>218</v>
      </c>
      <c r="S130" s="446"/>
      <c r="T130" s="446"/>
      <c r="U130" s="446"/>
      <c r="V130" s="416">
        <f>+AJ16</f>
        <v>0</v>
      </c>
      <c r="W130" s="416"/>
      <c r="X130" s="416"/>
      <c r="Y130" s="416"/>
      <c r="Z130" s="476"/>
      <c r="AA130" s="476"/>
      <c r="AB130" s="476"/>
      <c r="AC130" s="476"/>
      <c r="AD130" s="476"/>
      <c r="AE130" s="498"/>
      <c r="AF130" s="498"/>
      <c r="AG130" s="498"/>
      <c r="AH130" s="498"/>
      <c r="AI130" s="498"/>
      <c r="AJ130" s="502"/>
      <c r="AK130" s="502"/>
      <c r="AL130" s="502"/>
      <c r="AM130" s="498"/>
      <c r="AN130" s="498"/>
      <c r="AO130" s="498"/>
      <c r="AP130" s="499"/>
    </row>
    <row r="131" spans="1:42" s="15" customFormat="1" ht="15.6" customHeight="1">
      <c r="A131" s="530"/>
      <c r="B131" s="441"/>
      <c r="C131" s="441"/>
      <c r="D131" s="441"/>
      <c r="E131" s="446"/>
      <c r="F131" s="446"/>
      <c r="G131" s="497" t="s">
        <v>219</v>
      </c>
      <c r="H131" s="497"/>
      <c r="I131" s="497"/>
      <c r="J131" s="497"/>
      <c r="K131" s="497"/>
      <c r="L131" s="497"/>
      <c r="M131" s="497"/>
      <c r="N131" s="497"/>
      <c r="O131" s="497"/>
      <c r="P131" s="497"/>
      <c r="Q131" s="497"/>
      <c r="R131" s="476"/>
      <c r="S131" s="476"/>
      <c r="T131" s="476"/>
      <c r="U131" s="476"/>
      <c r="V131" s="416">
        <f>SUM(V126:Y130)</f>
        <v>0</v>
      </c>
      <c r="W131" s="416"/>
      <c r="X131" s="416"/>
      <c r="Y131" s="416"/>
      <c r="Z131" s="476"/>
      <c r="AA131" s="476"/>
      <c r="AB131" s="476"/>
      <c r="AC131" s="476"/>
      <c r="AD131" s="476"/>
      <c r="AE131" s="500">
        <f>SUM(AE126:AI129)</f>
        <v>0</v>
      </c>
      <c r="AF131" s="500"/>
      <c r="AG131" s="500"/>
      <c r="AH131" s="500"/>
      <c r="AI131" s="500"/>
      <c r="AJ131" s="472"/>
      <c r="AK131" s="472"/>
      <c r="AL131" s="472"/>
      <c r="AM131" s="500">
        <f>SUM(AM126:AP129)</f>
        <v>0</v>
      </c>
      <c r="AN131" s="500"/>
      <c r="AO131" s="500"/>
      <c r="AP131" s="501"/>
    </row>
    <row r="132" spans="1:42" s="15" customFormat="1" ht="15.6" customHeight="1">
      <c r="A132" s="530"/>
      <c r="B132" s="441"/>
      <c r="C132" s="441"/>
      <c r="D132" s="441"/>
      <c r="E132" s="446" t="s">
        <v>220</v>
      </c>
      <c r="F132" s="446"/>
      <c r="G132" s="484" t="s">
        <v>221</v>
      </c>
      <c r="H132" s="484"/>
      <c r="I132" s="484"/>
      <c r="J132" s="484"/>
      <c r="K132" s="484"/>
      <c r="L132" s="484"/>
      <c r="M132" s="484"/>
      <c r="N132" s="484"/>
      <c r="O132" s="484"/>
      <c r="P132" s="484"/>
      <c r="Q132" s="484"/>
      <c r="R132" s="485" t="s">
        <v>222</v>
      </c>
      <c r="S132" s="485"/>
      <c r="T132" s="485"/>
      <c r="U132" s="485"/>
      <c r="V132" s="487">
        <f>AM18</f>
        <v>0</v>
      </c>
      <c r="W132" s="487"/>
      <c r="X132" s="487"/>
      <c r="Y132" s="487"/>
      <c r="Z132" s="446" t="s">
        <v>96</v>
      </c>
      <c r="AA132" s="446"/>
      <c r="AB132" s="446"/>
      <c r="AC132" s="446"/>
      <c r="AD132" s="446"/>
      <c r="AE132" s="416"/>
      <c r="AF132" s="416"/>
      <c r="AG132" s="416"/>
      <c r="AH132" s="416"/>
      <c r="AI132" s="416"/>
      <c r="AJ132" s="486">
        <v>0.15</v>
      </c>
      <c r="AK132" s="486"/>
      <c r="AL132" s="486"/>
      <c r="AM132" s="416"/>
      <c r="AN132" s="416"/>
      <c r="AO132" s="416"/>
      <c r="AP132" s="448"/>
    </row>
    <row r="133" spans="1:42" s="15" customFormat="1" ht="15.6" customHeight="1">
      <c r="A133" s="530"/>
      <c r="B133" s="441"/>
      <c r="C133" s="441"/>
      <c r="D133" s="441"/>
      <c r="E133" s="446"/>
      <c r="F133" s="446"/>
      <c r="G133" s="484" t="s">
        <v>223</v>
      </c>
      <c r="H133" s="484"/>
      <c r="I133" s="484"/>
      <c r="J133" s="484"/>
      <c r="K133" s="484"/>
      <c r="L133" s="484"/>
      <c r="M133" s="484"/>
      <c r="N133" s="484"/>
      <c r="O133" s="484"/>
      <c r="P133" s="484"/>
      <c r="Q133" s="484"/>
      <c r="R133" s="485" t="s">
        <v>224</v>
      </c>
      <c r="S133" s="485"/>
      <c r="T133" s="485"/>
      <c r="U133" s="485"/>
      <c r="V133" s="447"/>
      <c r="W133" s="447"/>
      <c r="X133" s="447"/>
      <c r="Y133" s="447"/>
      <c r="Z133" s="485" t="s">
        <v>225</v>
      </c>
      <c r="AA133" s="485"/>
      <c r="AB133" s="485"/>
      <c r="AC133" s="485"/>
      <c r="AD133" s="485"/>
      <c r="AE133" s="416"/>
      <c r="AF133" s="416"/>
      <c r="AG133" s="416"/>
      <c r="AH133" s="416"/>
      <c r="AI133" s="416"/>
      <c r="AJ133" s="486"/>
      <c r="AK133" s="486"/>
      <c r="AL133" s="486"/>
      <c r="AM133" s="416"/>
      <c r="AN133" s="416"/>
      <c r="AO133" s="416"/>
      <c r="AP133" s="448"/>
    </row>
    <row r="134" spans="1:42" ht="15.6" customHeight="1">
      <c r="A134" s="530"/>
      <c r="B134" s="441"/>
      <c r="C134" s="441"/>
      <c r="D134" s="441"/>
      <c r="E134" s="446"/>
      <c r="F134" s="446"/>
      <c r="G134" s="484" t="s">
        <v>226</v>
      </c>
      <c r="H134" s="484"/>
      <c r="I134" s="484"/>
      <c r="J134" s="484"/>
      <c r="K134" s="484"/>
      <c r="L134" s="484"/>
      <c r="M134" s="484"/>
      <c r="N134" s="484"/>
      <c r="O134" s="484"/>
      <c r="P134" s="484"/>
      <c r="Q134" s="484"/>
      <c r="R134" s="446" t="s">
        <v>227</v>
      </c>
      <c r="S134" s="446"/>
      <c r="T134" s="446"/>
      <c r="U134" s="446"/>
      <c r="V134" s="447"/>
      <c r="W134" s="447"/>
      <c r="X134" s="447"/>
      <c r="Y134" s="447"/>
      <c r="Z134" s="485" t="s">
        <v>225</v>
      </c>
      <c r="AA134" s="485"/>
      <c r="AB134" s="485"/>
      <c r="AC134" s="485"/>
      <c r="AD134" s="485"/>
      <c r="AE134" s="416"/>
      <c r="AF134" s="416"/>
      <c r="AG134" s="416"/>
      <c r="AH134" s="416"/>
      <c r="AI134" s="416"/>
      <c r="AJ134" s="486"/>
      <c r="AK134" s="486"/>
      <c r="AL134" s="486"/>
      <c r="AM134" s="416"/>
      <c r="AN134" s="416"/>
      <c r="AO134" s="416"/>
      <c r="AP134" s="448"/>
    </row>
    <row r="135" spans="1:42" ht="15.6" customHeight="1">
      <c r="A135" s="530"/>
      <c r="B135" s="441"/>
      <c r="C135" s="441"/>
      <c r="D135" s="441"/>
      <c r="E135" s="446"/>
      <c r="F135" s="446"/>
      <c r="G135" s="484" t="s">
        <v>228</v>
      </c>
      <c r="H135" s="484"/>
      <c r="I135" s="484"/>
      <c r="J135" s="484"/>
      <c r="K135" s="484"/>
      <c r="L135" s="484"/>
      <c r="M135" s="484"/>
      <c r="N135" s="484"/>
      <c r="O135" s="484"/>
      <c r="P135" s="484"/>
      <c r="Q135" s="484"/>
      <c r="R135" s="446" t="s">
        <v>227</v>
      </c>
      <c r="S135" s="446"/>
      <c r="T135" s="446"/>
      <c r="U135" s="446"/>
      <c r="V135" s="447"/>
      <c r="W135" s="447"/>
      <c r="X135" s="447"/>
      <c r="Y135" s="447"/>
      <c r="Z135" s="485" t="s">
        <v>229</v>
      </c>
      <c r="AA135" s="485"/>
      <c r="AB135" s="485"/>
      <c r="AC135" s="485"/>
      <c r="AD135" s="485"/>
      <c r="AE135" s="416"/>
      <c r="AF135" s="416"/>
      <c r="AG135" s="416"/>
      <c r="AH135" s="416"/>
      <c r="AI135" s="416"/>
      <c r="AJ135" s="486"/>
      <c r="AK135" s="486"/>
      <c r="AL135" s="486"/>
      <c r="AM135" s="416"/>
      <c r="AN135" s="416"/>
      <c r="AO135" s="416"/>
      <c r="AP135" s="448"/>
    </row>
    <row r="136" spans="1:42" ht="15.6" customHeight="1">
      <c r="A136" s="530"/>
      <c r="B136" s="441"/>
      <c r="C136" s="441"/>
      <c r="D136" s="441"/>
      <c r="E136" s="446"/>
      <c r="F136" s="446"/>
      <c r="G136" s="484" t="s">
        <v>230</v>
      </c>
      <c r="H136" s="484"/>
      <c r="I136" s="484"/>
      <c r="J136" s="484"/>
      <c r="K136" s="484"/>
      <c r="L136" s="484"/>
      <c r="M136" s="484"/>
      <c r="N136" s="484"/>
      <c r="O136" s="484"/>
      <c r="P136" s="484"/>
      <c r="Q136" s="484"/>
      <c r="R136" s="446" t="s">
        <v>231</v>
      </c>
      <c r="S136" s="446"/>
      <c r="T136" s="446"/>
      <c r="U136" s="446"/>
      <c r="V136" s="447"/>
      <c r="W136" s="447"/>
      <c r="X136" s="447"/>
      <c r="Y136" s="447"/>
      <c r="Z136" s="446" t="s">
        <v>94</v>
      </c>
      <c r="AA136" s="446"/>
      <c r="AB136" s="446"/>
      <c r="AC136" s="446"/>
      <c r="AD136" s="446"/>
      <c r="AE136" s="416"/>
      <c r="AF136" s="416"/>
      <c r="AG136" s="416"/>
      <c r="AH136" s="416"/>
      <c r="AI136" s="416"/>
      <c r="AJ136" s="486"/>
      <c r="AK136" s="486"/>
      <c r="AL136" s="486"/>
      <c r="AM136" s="416"/>
      <c r="AN136" s="416"/>
      <c r="AO136" s="416"/>
      <c r="AP136" s="448"/>
    </row>
    <row r="137" spans="1:42" ht="15.6" customHeight="1">
      <c r="A137" s="530"/>
      <c r="B137" s="441"/>
      <c r="C137" s="441"/>
      <c r="D137" s="441"/>
      <c r="E137" s="446"/>
      <c r="F137" s="446"/>
      <c r="G137" s="475" t="s">
        <v>232</v>
      </c>
      <c r="H137" s="475"/>
      <c r="I137" s="475"/>
      <c r="J137" s="475"/>
      <c r="K137" s="475"/>
      <c r="L137" s="475"/>
      <c r="M137" s="475"/>
      <c r="N137" s="475"/>
      <c r="O137" s="475"/>
      <c r="P137" s="475"/>
      <c r="Q137" s="475"/>
      <c r="R137" s="476"/>
      <c r="S137" s="476"/>
      <c r="T137" s="476"/>
      <c r="U137" s="476"/>
      <c r="V137" s="416">
        <f>SUM(V132:Y136)</f>
        <v>0</v>
      </c>
      <c r="W137" s="416"/>
      <c r="X137" s="416"/>
      <c r="Y137" s="416"/>
      <c r="Z137" s="476"/>
      <c r="AA137" s="476"/>
      <c r="AB137" s="476"/>
      <c r="AC137" s="476"/>
      <c r="AD137" s="476"/>
      <c r="AE137" s="416">
        <f>SUM(AE132:AI136)</f>
        <v>0</v>
      </c>
      <c r="AF137" s="416"/>
      <c r="AG137" s="416"/>
      <c r="AH137" s="416"/>
      <c r="AI137" s="416"/>
      <c r="AJ137" s="472"/>
      <c r="AK137" s="472"/>
      <c r="AL137" s="472"/>
      <c r="AM137" s="416">
        <f>SUM(AM132:AP136)</f>
        <v>0</v>
      </c>
      <c r="AN137" s="416"/>
      <c r="AO137" s="416"/>
      <c r="AP137" s="448"/>
    </row>
    <row r="138" spans="1:42" s="15" customFormat="1" ht="15.6" customHeight="1">
      <c r="A138" s="530"/>
      <c r="B138" s="441"/>
      <c r="C138" s="441"/>
      <c r="D138" s="441"/>
      <c r="E138" s="446" t="s">
        <v>233</v>
      </c>
      <c r="F138" s="446"/>
      <c r="G138" s="474" t="s">
        <v>234</v>
      </c>
      <c r="H138" s="474"/>
      <c r="I138" s="474"/>
      <c r="J138" s="474"/>
      <c r="K138" s="451" t="s">
        <v>235</v>
      </c>
      <c r="L138" s="451"/>
      <c r="M138" s="451"/>
      <c r="N138" s="451"/>
      <c r="O138" s="451"/>
      <c r="P138" s="451"/>
      <c r="Q138" s="451"/>
      <c r="R138" s="452" t="s">
        <v>236</v>
      </c>
      <c r="S138" s="452"/>
      <c r="T138" s="452"/>
      <c r="U138" s="452"/>
      <c r="V138" s="447"/>
      <c r="W138" s="447"/>
      <c r="X138" s="447"/>
      <c r="Y138" s="447"/>
      <c r="Z138" s="472" t="s">
        <v>200</v>
      </c>
      <c r="AA138" s="472"/>
      <c r="AB138" s="472"/>
      <c r="AC138" s="472"/>
      <c r="AD138" s="472"/>
      <c r="AE138" s="416"/>
      <c r="AF138" s="416"/>
      <c r="AG138" s="416"/>
      <c r="AH138" s="416"/>
      <c r="AI138" s="416"/>
      <c r="AJ138" s="451" t="s">
        <v>237</v>
      </c>
      <c r="AK138" s="451"/>
      <c r="AL138" s="451"/>
      <c r="AM138" s="416"/>
      <c r="AN138" s="416"/>
      <c r="AO138" s="416"/>
      <c r="AP138" s="448"/>
    </row>
    <row r="139" spans="1:42" s="15" customFormat="1" ht="15.6" customHeight="1">
      <c r="A139" s="530"/>
      <c r="B139" s="441"/>
      <c r="C139" s="441"/>
      <c r="D139" s="441"/>
      <c r="E139" s="446"/>
      <c r="F139" s="446"/>
      <c r="G139" s="474"/>
      <c r="H139" s="474"/>
      <c r="I139" s="474"/>
      <c r="J139" s="474"/>
      <c r="K139" s="451" t="s">
        <v>238</v>
      </c>
      <c r="L139" s="451"/>
      <c r="M139" s="451"/>
      <c r="N139" s="451"/>
      <c r="O139" s="451"/>
      <c r="P139" s="451"/>
      <c r="Q139" s="451"/>
      <c r="R139" s="452" t="s">
        <v>236</v>
      </c>
      <c r="S139" s="452"/>
      <c r="T139" s="452"/>
      <c r="U139" s="452"/>
      <c r="V139" s="447"/>
      <c r="W139" s="447"/>
      <c r="X139" s="447"/>
      <c r="Y139" s="447"/>
      <c r="Z139" s="472"/>
      <c r="AA139" s="472"/>
      <c r="AB139" s="472"/>
      <c r="AC139" s="472"/>
      <c r="AD139" s="472"/>
      <c r="AE139" s="416"/>
      <c r="AF139" s="416"/>
      <c r="AG139" s="416"/>
      <c r="AH139" s="416"/>
      <c r="AI139" s="416"/>
      <c r="AJ139" s="453" t="s">
        <v>435</v>
      </c>
      <c r="AK139" s="454"/>
      <c r="AL139" s="455"/>
      <c r="AM139" s="416"/>
      <c r="AN139" s="416"/>
      <c r="AO139" s="416"/>
      <c r="AP139" s="448"/>
    </row>
    <row r="140" spans="1:42" s="15" customFormat="1" ht="15.6" customHeight="1">
      <c r="A140" s="530"/>
      <c r="B140" s="441"/>
      <c r="C140" s="441"/>
      <c r="D140" s="441"/>
      <c r="E140" s="446"/>
      <c r="F140" s="446"/>
      <c r="G140" s="474" t="s">
        <v>468</v>
      </c>
      <c r="H140" s="474"/>
      <c r="I140" s="474"/>
      <c r="J140" s="474"/>
      <c r="K140" s="451" t="s">
        <v>235</v>
      </c>
      <c r="L140" s="451"/>
      <c r="M140" s="451"/>
      <c r="N140" s="451"/>
      <c r="O140" s="451"/>
      <c r="P140" s="451"/>
      <c r="Q140" s="451"/>
      <c r="R140" s="452" t="s">
        <v>236</v>
      </c>
      <c r="S140" s="452"/>
      <c r="T140" s="452"/>
      <c r="U140" s="452"/>
      <c r="V140" s="447"/>
      <c r="W140" s="447"/>
      <c r="X140" s="447"/>
      <c r="Y140" s="447"/>
      <c r="Z140" s="472"/>
      <c r="AA140" s="472"/>
      <c r="AB140" s="472"/>
      <c r="AC140" s="472"/>
      <c r="AD140" s="472"/>
      <c r="AE140" s="416"/>
      <c r="AF140" s="416"/>
      <c r="AG140" s="416"/>
      <c r="AH140" s="416"/>
      <c r="AI140" s="416"/>
      <c r="AJ140" s="451" t="s">
        <v>237</v>
      </c>
      <c r="AK140" s="451"/>
      <c r="AL140" s="451"/>
      <c r="AM140" s="416"/>
      <c r="AN140" s="416"/>
      <c r="AO140" s="416"/>
      <c r="AP140" s="448"/>
    </row>
    <row r="141" spans="1:42" s="15" customFormat="1" ht="15.6" customHeight="1">
      <c r="A141" s="530"/>
      <c r="B141" s="441"/>
      <c r="C141" s="441"/>
      <c r="D141" s="441"/>
      <c r="E141" s="446"/>
      <c r="F141" s="446"/>
      <c r="G141" s="474"/>
      <c r="H141" s="474"/>
      <c r="I141" s="474"/>
      <c r="J141" s="474"/>
      <c r="K141" s="451" t="s">
        <v>238</v>
      </c>
      <c r="L141" s="451"/>
      <c r="M141" s="451"/>
      <c r="N141" s="451"/>
      <c r="O141" s="451"/>
      <c r="P141" s="451"/>
      <c r="Q141" s="451"/>
      <c r="R141" s="452" t="s">
        <v>236</v>
      </c>
      <c r="S141" s="452"/>
      <c r="T141" s="452"/>
      <c r="U141" s="452"/>
      <c r="V141" s="447"/>
      <c r="W141" s="447"/>
      <c r="X141" s="447"/>
      <c r="Y141" s="447"/>
      <c r="Z141" s="472"/>
      <c r="AA141" s="472"/>
      <c r="AB141" s="472"/>
      <c r="AC141" s="472"/>
      <c r="AD141" s="472"/>
      <c r="AE141" s="416"/>
      <c r="AF141" s="416"/>
      <c r="AG141" s="416"/>
      <c r="AH141" s="416"/>
      <c r="AI141" s="416"/>
      <c r="AJ141" s="827">
        <v>0.15</v>
      </c>
      <c r="AK141" s="454"/>
      <c r="AL141" s="455"/>
      <c r="AM141" s="416"/>
      <c r="AN141" s="416"/>
      <c r="AO141" s="416"/>
      <c r="AP141" s="448"/>
    </row>
    <row r="142" spans="1:42" s="15" customFormat="1" ht="15.6" customHeight="1">
      <c r="A142" s="530"/>
      <c r="B142" s="441"/>
      <c r="C142" s="441"/>
      <c r="D142" s="441"/>
      <c r="E142" s="446"/>
      <c r="F142" s="446"/>
      <c r="G142" s="477" t="s">
        <v>470</v>
      </c>
      <c r="H142" s="477"/>
      <c r="I142" s="477"/>
      <c r="J142" s="477"/>
      <c r="K142" s="477"/>
      <c r="L142" s="477"/>
      <c r="M142" s="477"/>
      <c r="N142" s="477"/>
      <c r="O142" s="477"/>
      <c r="P142" s="477"/>
      <c r="Q142" s="477"/>
      <c r="R142" s="446" t="s">
        <v>239</v>
      </c>
      <c r="S142" s="446"/>
      <c r="T142" s="446"/>
      <c r="U142" s="446"/>
      <c r="V142" s="447"/>
      <c r="W142" s="447"/>
      <c r="X142" s="447"/>
      <c r="Y142" s="447"/>
      <c r="Z142" s="472"/>
      <c r="AA142" s="472"/>
      <c r="AB142" s="472"/>
      <c r="AC142" s="472"/>
      <c r="AD142" s="472"/>
      <c r="AE142" s="416"/>
      <c r="AF142" s="416"/>
      <c r="AG142" s="416"/>
      <c r="AH142" s="416"/>
      <c r="AI142" s="416"/>
      <c r="AJ142" s="478" t="s">
        <v>469</v>
      </c>
      <c r="AK142" s="479"/>
      <c r="AL142" s="480"/>
      <c r="AM142" s="416"/>
      <c r="AN142" s="416"/>
      <c r="AO142" s="416"/>
      <c r="AP142" s="448"/>
    </row>
    <row r="143" spans="1:42" s="15" customFormat="1" ht="15.6" customHeight="1">
      <c r="A143" s="530"/>
      <c r="B143" s="441"/>
      <c r="C143" s="441"/>
      <c r="D143" s="441"/>
      <c r="E143" s="446"/>
      <c r="F143" s="446"/>
      <c r="G143" s="446" t="s">
        <v>240</v>
      </c>
      <c r="H143" s="446"/>
      <c r="I143" s="446"/>
      <c r="J143" s="446"/>
      <c r="K143" s="446"/>
      <c r="L143" s="446"/>
      <c r="M143" s="446"/>
      <c r="N143" s="446"/>
      <c r="O143" s="446"/>
      <c r="P143" s="446"/>
      <c r="Q143" s="446"/>
      <c r="R143" s="446" t="s">
        <v>239</v>
      </c>
      <c r="S143" s="446"/>
      <c r="T143" s="446"/>
      <c r="U143" s="446"/>
      <c r="V143" s="447"/>
      <c r="W143" s="447"/>
      <c r="X143" s="447"/>
      <c r="Y143" s="447"/>
      <c r="Z143" s="472"/>
      <c r="AA143" s="472"/>
      <c r="AB143" s="472"/>
      <c r="AC143" s="472"/>
      <c r="AD143" s="472"/>
      <c r="AE143" s="416"/>
      <c r="AF143" s="416"/>
      <c r="AG143" s="416"/>
      <c r="AH143" s="416"/>
      <c r="AI143" s="416"/>
      <c r="AJ143" s="481"/>
      <c r="AK143" s="482"/>
      <c r="AL143" s="483"/>
      <c r="AM143" s="416"/>
      <c r="AN143" s="416"/>
      <c r="AO143" s="416"/>
      <c r="AP143" s="448"/>
    </row>
    <row r="144" spans="1:42" s="15" customFormat="1" ht="21" customHeight="1">
      <c r="A144" s="530"/>
      <c r="B144" s="441"/>
      <c r="C144" s="441"/>
      <c r="D144" s="441"/>
      <c r="E144" s="446"/>
      <c r="F144" s="446"/>
      <c r="G144" s="468" t="s">
        <v>471</v>
      </c>
      <c r="H144" s="469"/>
      <c r="I144" s="469"/>
      <c r="J144" s="469"/>
      <c r="K144" s="469"/>
      <c r="L144" s="469"/>
      <c r="M144" s="469"/>
      <c r="N144" s="469"/>
      <c r="O144" s="469"/>
      <c r="P144" s="469"/>
      <c r="Q144" s="469"/>
      <c r="R144" s="446" t="s">
        <v>239</v>
      </c>
      <c r="S144" s="446"/>
      <c r="T144" s="446"/>
      <c r="U144" s="446"/>
      <c r="V144" s="447"/>
      <c r="W144" s="447"/>
      <c r="X144" s="447"/>
      <c r="Y144" s="447"/>
      <c r="Z144" s="472"/>
      <c r="AA144" s="472"/>
      <c r="AB144" s="472"/>
      <c r="AC144" s="472"/>
      <c r="AD144" s="472"/>
      <c r="AE144" s="416"/>
      <c r="AF144" s="416"/>
      <c r="AG144" s="416"/>
      <c r="AH144" s="416"/>
      <c r="AI144" s="416"/>
      <c r="AJ144" s="481"/>
      <c r="AK144" s="482"/>
      <c r="AL144" s="483"/>
      <c r="AM144" s="416"/>
      <c r="AN144" s="416"/>
      <c r="AO144" s="416"/>
      <c r="AP144" s="448"/>
    </row>
    <row r="145" spans="1:42" s="15" customFormat="1" ht="21" customHeight="1">
      <c r="A145" s="530"/>
      <c r="B145" s="441"/>
      <c r="C145" s="441"/>
      <c r="D145" s="441"/>
      <c r="E145" s="446"/>
      <c r="F145" s="446"/>
      <c r="G145" s="468" t="s">
        <v>472</v>
      </c>
      <c r="H145" s="469"/>
      <c r="I145" s="469"/>
      <c r="J145" s="469"/>
      <c r="K145" s="469"/>
      <c r="L145" s="469"/>
      <c r="M145" s="469"/>
      <c r="N145" s="469"/>
      <c r="O145" s="469"/>
      <c r="P145" s="469"/>
      <c r="Q145" s="469"/>
      <c r="R145" s="446" t="s">
        <v>236</v>
      </c>
      <c r="S145" s="446"/>
      <c r="T145" s="446"/>
      <c r="U145" s="446"/>
      <c r="V145" s="447"/>
      <c r="W145" s="447"/>
      <c r="X145" s="447"/>
      <c r="Y145" s="447"/>
      <c r="Z145" s="472"/>
      <c r="AA145" s="472"/>
      <c r="AB145" s="472"/>
      <c r="AC145" s="472"/>
      <c r="AD145" s="472"/>
      <c r="AE145" s="416"/>
      <c r="AF145" s="416"/>
      <c r="AG145" s="416"/>
      <c r="AH145" s="416"/>
      <c r="AI145" s="416"/>
      <c r="AJ145" s="481"/>
      <c r="AK145" s="482"/>
      <c r="AL145" s="483"/>
      <c r="AM145" s="416"/>
      <c r="AN145" s="416"/>
      <c r="AO145" s="416"/>
      <c r="AP145" s="448"/>
    </row>
    <row r="146" spans="1:42" s="15" customFormat="1" ht="15.6" customHeight="1">
      <c r="A146" s="530"/>
      <c r="B146" s="441"/>
      <c r="C146" s="507"/>
      <c r="D146" s="507"/>
      <c r="E146" s="473"/>
      <c r="F146" s="473"/>
      <c r="G146" s="470" t="s">
        <v>241</v>
      </c>
      <c r="H146" s="470"/>
      <c r="I146" s="470"/>
      <c r="J146" s="470"/>
      <c r="K146" s="470"/>
      <c r="L146" s="470"/>
      <c r="M146" s="470"/>
      <c r="N146" s="470"/>
      <c r="O146" s="470"/>
      <c r="P146" s="470"/>
      <c r="Q146" s="470"/>
      <c r="R146" s="471"/>
      <c r="S146" s="471"/>
      <c r="T146" s="471"/>
      <c r="U146" s="471"/>
      <c r="V146" s="437">
        <f>SUM(V138:Y145)</f>
        <v>0</v>
      </c>
      <c r="W146" s="437"/>
      <c r="X146" s="437"/>
      <c r="Y146" s="437"/>
      <c r="Z146" s="471"/>
      <c r="AA146" s="471"/>
      <c r="AB146" s="471"/>
      <c r="AC146" s="471"/>
      <c r="AD146" s="471"/>
      <c r="AE146" s="437">
        <f>SUM(AE138:AI145)</f>
        <v>0</v>
      </c>
      <c r="AF146" s="437"/>
      <c r="AG146" s="437"/>
      <c r="AH146" s="437"/>
      <c r="AI146" s="437"/>
      <c r="AJ146" s="481"/>
      <c r="AK146" s="482"/>
      <c r="AL146" s="483"/>
      <c r="AM146" s="437">
        <f>SUM(AM138:AP145)</f>
        <v>0</v>
      </c>
      <c r="AN146" s="437"/>
      <c r="AO146" s="437"/>
      <c r="AP146" s="438"/>
    </row>
    <row r="147" spans="1:42" s="15" customFormat="1" ht="15.6" customHeight="1">
      <c r="A147" s="530"/>
      <c r="B147" s="441"/>
      <c r="C147" s="456" t="s">
        <v>242</v>
      </c>
      <c r="D147" s="456"/>
      <c r="E147" s="456"/>
      <c r="F147" s="456"/>
      <c r="G147" s="456"/>
      <c r="H147" s="456"/>
      <c r="I147" s="456"/>
      <c r="J147" s="456"/>
      <c r="K147" s="456"/>
      <c r="L147" s="456"/>
      <c r="M147" s="456"/>
      <c r="N147" s="456"/>
      <c r="O147" s="456"/>
      <c r="P147" s="456"/>
      <c r="Q147" s="456"/>
      <c r="R147" s="458" t="s">
        <v>243</v>
      </c>
      <c r="S147" s="459"/>
      <c r="T147" s="459"/>
      <c r="U147" s="460"/>
      <c r="V147" s="461"/>
      <c r="W147" s="461"/>
      <c r="X147" s="461"/>
      <c r="Y147" s="461"/>
      <c r="Z147" s="462"/>
      <c r="AA147" s="463"/>
      <c r="AB147" s="463"/>
      <c r="AC147" s="463"/>
      <c r="AD147" s="463"/>
      <c r="AE147" s="463"/>
      <c r="AF147" s="463"/>
      <c r="AG147" s="463"/>
      <c r="AH147" s="463"/>
      <c r="AI147" s="464"/>
      <c r="AJ147" s="462"/>
      <c r="AK147" s="463"/>
      <c r="AL147" s="463"/>
      <c r="AM147" s="463"/>
      <c r="AN147" s="463"/>
      <c r="AO147" s="463"/>
      <c r="AP147" s="463"/>
    </row>
    <row r="148" spans="1:42" s="15" customFormat="1" ht="15.6" customHeight="1">
      <c r="A148" s="530"/>
      <c r="B148" s="441"/>
      <c r="C148" s="446"/>
      <c r="D148" s="446"/>
      <c r="E148" s="446"/>
      <c r="F148" s="446"/>
      <c r="G148" s="446"/>
      <c r="H148" s="446"/>
      <c r="I148" s="446"/>
      <c r="J148" s="446"/>
      <c r="K148" s="446"/>
      <c r="L148" s="446"/>
      <c r="M148" s="446"/>
      <c r="N148" s="446"/>
      <c r="O148" s="446"/>
      <c r="P148" s="446"/>
      <c r="Q148" s="446"/>
      <c r="R148" s="431" t="s">
        <v>244</v>
      </c>
      <c r="S148" s="432"/>
      <c r="T148" s="432"/>
      <c r="U148" s="433"/>
      <c r="V148" s="416"/>
      <c r="W148" s="416"/>
      <c r="X148" s="416"/>
      <c r="Y148" s="416"/>
      <c r="Z148" s="465"/>
      <c r="AA148" s="466"/>
      <c r="AB148" s="466"/>
      <c r="AC148" s="466"/>
      <c r="AD148" s="466"/>
      <c r="AE148" s="466"/>
      <c r="AF148" s="466"/>
      <c r="AG148" s="466"/>
      <c r="AH148" s="466"/>
      <c r="AI148" s="467"/>
      <c r="AJ148" s="465"/>
      <c r="AK148" s="466"/>
      <c r="AL148" s="466"/>
      <c r="AM148" s="466"/>
      <c r="AN148" s="466"/>
      <c r="AO148" s="466"/>
      <c r="AP148" s="466"/>
    </row>
    <row r="149" spans="1:42" s="15" customFormat="1" ht="15.6" customHeight="1">
      <c r="A149" s="530"/>
      <c r="B149" s="441"/>
      <c r="C149" s="446"/>
      <c r="D149" s="446"/>
      <c r="E149" s="446"/>
      <c r="F149" s="446"/>
      <c r="G149" s="446"/>
      <c r="H149" s="446"/>
      <c r="I149" s="446"/>
      <c r="J149" s="446"/>
      <c r="K149" s="446"/>
      <c r="L149" s="446"/>
      <c r="M149" s="446"/>
      <c r="N149" s="446"/>
      <c r="O149" s="446"/>
      <c r="P149" s="446"/>
      <c r="Q149" s="446"/>
      <c r="R149" s="431" t="s">
        <v>245</v>
      </c>
      <c r="S149" s="432"/>
      <c r="T149" s="432"/>
      <c r="U149" s="433"/>
      <c r="V149" s="416"/>
      <c r="W149" s="416"/>
      <c r="X149" s="416"/>
      <c r="Y149" s="416"/>
      <c r="Z149" s="434" t="s">
        <v>246</v>
      </c>
      <c r="AA149" s="435"/>
      <c r="AB149" s="435"/>
      <c r="AC149" s="435"/>
      <c r="AD149" s="435"/>
      <c r="AE149" s="435"/>
      <c r="AF149" s="435"/>
      <c r="AG149" s="435"/>
      <c r="AH149" s="435"/>
      <c r="AI149" s="436"/>
      <c r="AJ149" s="420"/>
      <c r="AK149" s="421"/>
      <c r="AL149" s="421"/>
      <c r="AM149" s="421"/>
      <c r="AN149" s="421"/>
      <c r="AO149" s="421"/>
      <c r="AP149" s="421"/>
    </row>
    <row r="150" spans="1:42" s="15" customFormat="1" ht="15.6" customHeight="1">
      <c r="A150" s="530"/>
      <c r="B150" s="441"/>
      <c r="C150" s="446"/>
      <c r="D150" s="446"/>
      <c r="E150" s="446"/>
      <c r="F150" s="446"/>
      <c r="G150" s="446"/>
      <c r="H150" s="446"/>
      <c r="I150" s="446"/>
      <c r="J150" s="446"/>
      <c r="K150" s="446"/>
      <c r="L150" s="446"/>
      <c r="M150" s="446"/>
      <c r="N150" s="446"/>
      <c r="O150" s="446"/>
      <c r="P150" s="446"/>
      <c r="Q150" s="446"/>
      <c r="R150" s="431" t="s">
        <v>247</v>
      </c>
      <c r="S150" s="432"/>
      <c r="T150" s="432"/>
      <c r="U150" s="433"/>
      <c r="V150" s="416"/>
      <c r="W150" s="416"/>
      <c r="X150" s="416"/>
      <c r="Y150" s="416"/>
      <c r="Z150" s="417" t="s">
        <v>248</v>
      </c>
      <c r="AA150" s="418"/>
      <c r="AB150" s="418"/>
      <c r="AC150" s="418"/>
      <c r="AD150" s="418"/>
      <c r="AE150" s="418"/>
      <c r="AF150" s="418"/>
      <c r="AG150" s="418"/>
      <c r="AH150" s="418"/>
      <c r="AI150" s="419"/>
      <c r="AJ150" s="420"/>
      <c r="AK150" s="421"/>
      <c r="AL150" s="421"/>
      <c r="AM150" s="421"/>
      <c r="AN150" s="421"/>
      <c r="AO150" s="421"/>
      <c r="AP150" s="421"/>
    </row>
    <row r="151" spans="1:42" s="15" customFormat="1" ht="15.6" customHeight="1">
      <c r="A151" s="530"/>
      <c r="B151" s="441"/>
      <c r="C151" s="446"/>
      <c r="D151" s="446"/>
      <c r="E151" s="446"/>
      <c r="F151" s="446"/>
      <c r="G151" s="446"/>
      <c r="H151" s="446"/>
      <c r="I151" s="446"/>
      <c r="J151" s="446"/>
      <c r="K151" s="446"/>
      <c r="L151" s="446"/>
      <c r="M151" s="446"/>
      <c r="N151" s="446"/>
      <c r="O151" s="446"/>
      <c r="P151" s="446"/>
      <c r="Q151" s="446"/>
      <c r="R151" s="431" t="s">
        <v>249</v>
      </c>
      <c r="S151" s="432"/>
      <c r="T151" s="432"/>
      <c r="U151" s="433"/>
      <c r="V151" s="416"/>
      <c r="W151" s="416"/>
      <c r="X151" s="416"/>
      <c r="Y151" s="416"/>
      <c r="Z151" s="417" t="s">
        <v>250</v>
      </c>
      <c r="AA151" s="418"/>
      <c r="AB151" s="418"/>
      <c r="AC151" s="418"/>
      <c r="AD151" s="418"/>
      <c r="AE151" s="418"/>
      <c r="AF151" s="418"/>
      <c r="AG151" s="418"/>
      <c r="AH151" s="418"/>
      <c r="AI151" s="419"/>
      <c r="AJ151" s="420"/>
      <c r="AK151" s="421"/>
      <c r="AL151" s="421"/>
      <c r="AM151" s="421"/>
      <c r="AN151" s="421"/>
      <c r="AO151" s="421"/>
      <c r="AP151" s="421"/>
    </row>
    <row r="152" spans="1:42" s="15" customFormat="1" ht="15.6" customHeight="1">
      <c r="A152" s="530"/>
      <c r="B152" s="441"/>
      <c r="C152" s="457"/>
      <c r="D152" s="457"/>
      <c r="E152" s="457"/>
      <c r="F152" s="457"/>
      <c r="G152" s="457"/>
      <c r="H152" s="457"/>
      <c r="I152" s="457"/>
      <c r="J152" s="457"/>
      <c r="K152" s="457"/>
      <c r="L152" s="457"/>
      <c r="M152" s="457"/>
      <c r="N152" s="457"/>
      <c r="O152" s="457"/>
      <c r="P152" s="457"/>
      <c r="Q152" s="457"/>
      <c r="R152" s="422" t="s">
        <v>251</v>
      </c>
      <c r="S152" s="423"/>
      <c r="T152" s="423"/>
      <c r="U152" s="424"/>
      <c r="V152" s="425"/>
      <c r="W152" s="425"/>
      <c r="X152" s="425"/>
      <c r="Y152" s="425"/>
      <c r="Z152" s="426" t="s">
        <v>252</v>
      </c>
      <c r="AA152" s="427"/>
      <c r="AB152" s="427"/>
      <c r="AC152" s="427"/>
      <c r="AD152" s="427"/>
      <c r="AE152" s="427"/>
      <c r="AF152" s="427"/>
      <c r="AG152" s="427"/>
      <c r="AH152" s="427"/>
      <c r="AI152" s="428"/>
      <c r="AJ152" s="429"/>
      <c r="AK152" s="430"/>
      <c r="AL152" s="430"/>
      <c r="AM152" s="430"/>
      <c r="AN152" s="430"/>
      <c r="AO152" s="430"/>
      <c r="AP152" s="430"/>
    </row>
    <row r="153" spans="1:42" s="15" customFormat="1" ht="15.6" customHeight="1">
      <c r="A153" s="530"/>
      <c r="B153" s="441"/>
      <c r="C153" s="389" t="s">
        <v>253</v>
      </c>
      <c r="D153" s="389"/>
      <c r="E153" s="389"/>
      <c r="F153" s="389"/>
      <c r="G153" s="389"/>
      <c r="H153" s="389"/>
      <c r="I153" s="389"/>
      <c r="J153" s="389"/>
      <c r="K153" s="389"/>
      <c r="L153" s="389"/>
      <c r="M153" s="389"/>
      <c r="N153" s="389"/>
      <c r="O153" s="389"/>
      <c r="P153" s="389"/>
      <c r="Q153" s="389"/>
      <c r="R153" s="390" t="s">
        <v>254</v>
      </c>
      <c r="S153" s="391"/>
      <c r="T153" s="391"/>
      <c r="U153" s="392"/>
      <c r="V153" s="393"/>
      <c r="W153" s="393"/>
      <c r="X153" s="393"/>
      <c r="Y153" s="393"/>
      <c r="Z153" s="394">
        <v>0.3</v>
      </c>
      <c r="AA153" s="395"/>
      <c r="AB153" s="395"/>
      <c r="AC153" s="395"/>
      <c r="AD153" s="395"/>
      <c r="AE153" s="395"/>
      <c r="AF153" s="395"/>
      <c r="AG153" s="395"/>
      <c r="AH153" s="395"/>
      <c r="AI153" s="396"/>
      <c r="AJ153" s="397"/>
      <c r="AK153" s="398"/>
      <c r="AL153" s="398"/>
      <c r="AM153" s="398"/>
      <c r="AN153" s="398"/>
      <c r="AO153" s="398"/>
      <c r="AP153" s="398"/>
    </row>
    <row r="154" spans="1:42" s="15" customFormat="1" ht="15.6" customHeight="1">
      <c r="A154" s="531"/>
      <c r="B154" s="442"/>
      <c r="C154" s="399" t="s">
        <v>255</v>
      </c>
      <c r="D154" s="399"/>
      <c r="E154" s="399"/>
      <c r="F154" s="399"/>
      <c r="G154" s="399"/>
      <c r="H154" s="399"/>
      <c r="I154" s="399"/>
      <c r="J154" s="399"/>
      <c r="K154" s="399"/>
      <c r="L154" s="399"/>
      <c r="M154" s="399"/>
      <c r="N154" s="399"/>
      <c r="O154" s="399"/>
      <c r="P154" s="399"/>
      <c r="Q154" s="399"/>
      <c r="R154" s="400" t="s">
        <v>214</v>
      </c>
      <c r="S154" s="401"/>
      <c r="T154" s="401"/>
      <c r="U154" s="402"/>
      <c r="V154" s="403"/>
      <c r="W154" s="404"/>
      <c r="X154" s="404"/>
      <c r="Y154" s="405"/>
      <c r="Z154" s="406" t="s">
        <v>256</v>
      </c>
      <c r="AA154" s="407"/>
      <c r="AB154" s="407"/>
      <c r="AC154" s="407"/>
      <c r="AD154" s="407"/>
      <c r="AE154" s="407"/>
      <c r="AF154" s="407"/>
      <c r="AG154" s="407"/>
      <c r="AH154" s="407"/>
      <c r="AI154" s="408"/>
      <c r="AJ154" s="409"/>
      <c r="AK154" s="410"/>
      <c r="AL154" s="410"/>
      <c r="AM154" s="410"/>
      <c r="AN154" s="410"/>
      <c r="AO154" s="410"/>
      <c r="AP154" s="410"/>
    </row>
    <row r="155" spans="1:42" s="15" customFormat="1" ht="27.95" customHeight="1">
      <c r="A155" s="439" t="s">
        <v>257</v>
      </c>
      <c r="B155" s="439"/>
      <c r="C155" s="439"/>
      <c r="D155" s="439"/>
      <c r="E155" s="439"/>
      <c r="F155" s="439"/>
      <c r="G155" s="439"/>
      <c r="H155" s="439"/>
      <c r="I155" s="439"/>
      <c r="J155" s="439"/>
      <c r="K155" s="439"/>
      <c r="L155" s="439"/>
      <c r="M155" s="439"/>
      <c r="N155" s="439"/>
      <c r="O155" s="439"/>
      <c r="P155" s="439"/>
      <c r="Q155" s="439"/>
      <c r="R155" s="439"/>
      <c r="S155" s="439"/>
      <c r="T155" s="439"/>
      <c r="U155" s="439"/>
      <c r="V155" s="439"/>
      <c r="W155" s="439"/>
      <c r="X155" s="439"/>
      <c r="Y155" s="439"/>
      <c r="Z155" s="439"/>
      <c r="AA155" s="439"/>
      <c r="AB155" s="439"/>
      <c r="AC155" s="439"/>
      <c r="AD155" s="439"/>
      <c r="AE155" s="439"/>
      <c r="AF155" s="439"/>
      <c r="AG155" s="439"/>
      <c r="AH155" s="439"/>
      <c r="AI155" s="439"/>
      <c r="AJ155" s="439"/>
      <c r="AK155" s="439"/>
      <c r="AL155" s="439"/>
      <c r="AM155" s="439"/>
      <c r="AN155" s="439"/>
      <c r="AO155" s="439"/>
      <c r="AP155" s="439"/>
    </row>
    <row r="156" spans="1:42" s="15" customFormat="1" ht="17.25" customHeight="1" thickBot="1">
      <c r="A156" s="16"/>
      <c r="B156" s="16"/>
      <c r="C156" s="16"/>
      <c r="D156" s="16"/>
      <c r="E156" s="16"/>
      <c r="F156" s="16"/>
      <c r="G156" s="16"/>
      <c r="H156" s="16"/>
      <c r="I156" s="16"/>
      <c r="J156" s="16"/>
      <c r="K156" s="16"/>
      <c r="L156" s="16"/>
      <c r="M156" s="16"/>
      <c r="N156" s="16"/>
      <c r="O156" s="16"/>
      <c r="P156" s="16"/>
      <c r="Q156" s="16"/>
      <c r="R156" s="16"/>
      <c r="S156" s="379" t="s">
        <v>258</v>
      </c>
      <c r="T156" s="380"/>
      <c r="U156" s="380"/>
      <c r="V156" s="380"/>
      <c r="W156" s="380"/>
      <c r="X156" s="381" t="str">
        <f>G6</f>
        <v xml:space="preserve"> </v>
      </c>
      <c r="Y156" s="381"/>
      <c r="Z156" s="381"/>
      <c r="AA156" s="381"/>
      <c r="AB156" s="381"/>
      <c r="AC156" s="381"/>
      <c r="AD156" s="381"/>
      <c r="AE156" s="381"/>
      <c r="AF156" s="381"/>
      <c r="AG156" s="381"/>
      <c r="AH156" s="381"/>
      <c r="AI156" s="382" t="s">
        <v>259</v>
      </c>
      <c r="AJ156" s="382"/>
      <c r="AK156" s="382"/>
      <c r="AL156" s="382"/>
      <c r="AM156" s="382"/>
      <c r="AN156" s="382"/>
      <c r="AO156" s="382"/>
      <c r="AP156" s="383"/>
    </row>
    <row r="157" spans="1:42" s="15" customFormat="1" ht="15" customHeight="1">
      <c r="A157" s="384" t="s">
        <v>260</v>
      </c>
      <c r="B157" s="385"/>
      <c r="C157" s="385"/>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c r="AF157" s="385"/>
      <c r="AG157" s="385"/>
      <c r="AH157" s="385"/>
      <c r="AI157" s="385"/>
      <c r="AJ157" s="385"/>
      <c r="AK157" s="385"/>
      <c r="AL157" s="385"/>
      <c r="AM157" s="385"/>
      <c r="AN157" s="385"/>
      <c r="AO157" s="385"/>
      <c r="AP157" s="386"/>
    </row>
    <row r="158" spans="1:42" s="15" customFormat="1" ht="15" customHeight="1">
      <c r="A158" s="414" t="s">
        <v>261</v>
      </c>
      <c r="B158" s="414"/>
      <c r="C158" s="414"/>
      <c r="D158" s="414"/>
      <c r="E158" s="414"/>
      <c r="F158" s="414"/>
      <c r="G158" s="414"/>
      <c r="H158" s="414"/>
      <c r="I158" s="414"/>
      <c r="J158" s="414"/>
      <c r="K158" s="414"/>
      <c r="L158" s="414"/>
      <c r="M158" s="414"/>
      <c r="N158" s="414"/>
      <c r="O158" s="414"/>
      <c r="P158" s="414"/>
      <c r="Q158" s="414"/>
      <c r="R158" s="414"/>
      <c r="S158" s="414"/>
      <c r="T158" s="414"/>
      <c r="U158" s="414"/>
      <c r="V158" s="414"/>
      <c r="W158" s="414"/>
      <c r="X158" s="414"/>
      <c r="Y158" s="414"/>
      <c r="Z158" s="414"/>
      <c r="AA158" s="414"/>
      <c r="AB158" s="414"/>
      <c r="AC158" s="414"/>
      <c r="AD158" s="414"/>
      <c r="AE158" s="414"/>
      <c r="AF158" s="414"/>
      <c r="AG158" s="415"/>
      <c r="AH158" s="387" t="s">
        <v>262</v>
      </c>
      <c r="AI158" s="387"/>
      <c r="AJ158" s="387"/>
      <c r="AK158" s="387"/>
      <c r="AL158" s="387"/>
      <c r="AM158" s="387"/>
      <c r="AN158" s="387"/>
      <c r="AO158" s="387"/>
      <c r="AP158" s="388"/>
    </row>
    <row r="159" spans="1:42" s="15" customFormat="1" ht="15" customHeight="1">
      <c r="A159" s="363" t="s">
        <v>263</v>
      </c>
      <c r="B159" s="364"/>
      <c r="C159" s="364"/>
      <c r="D159" s="364"/>
      <c r="E159" s="364"/>
      <c r="F159" s="367" t="s">
        <v>264</v>
      </c>
      <c r="G159" s="367"/>
      <c r="H159" s="367"/>
      <c r="I159" s="367"/>
      <c r="J159" s="367"/>
      <c r="K159" s="367"/>
      <c r="L159" s="367"/>
      <c r="M159" s="367"/>
      <c r="N159" s="367"/>
      <c r="O159" s="367"/>
      <c r="P159" s="367"/>
      <c r="Q159" s="367"/>
      <c r="R159" s="367"/>
      <c r="S159" s="367"/>
      <c r="T159" s="367"/>
      <c r="U159" s="367" t="s">
        <v>265</v>
      </c>
      <c r="V159" s="367"/>
      <c r="W159" s="367"/>
      <c r="X159" s="367"/>
      <c r="Y159" s="367"/>
      <c r="Z159" s="376"/>
      <c r="AA159" s="377"/>
      <c r="AB159" s="377"/>
      <c r="AC159" s="377"/>
      <c r="AD159" s="377"/>
      <c r="AE159" s="377"/>
      <c r="AF159" s="377"/>
      <c r="AG159" s="378"/>
      <c r="AH159" s="368" t="s">
        <v>266</v>
      </c>
      <c r="AI159" s="368"/>
      <c r="AJ159" s="368"/>
      <c r="AK159" s="368"/>
      <c r="AL159" s="368"/>
      <c r="AM159" s="368"/>
      <c r="AN159" s="368"/>
      <c r="AO159" s="368"/>
      <c r="AP159" s="369"/>
    </row>
    <row r="160" spans="1:42" s="15" customFormat="1" ht="15" customHeight="1">
      <c r="A160" s="365"/>
      <c r="B160" s="366"/>
      <c r="C160" s="366"/>
      <c r="D160" s="366"/>
      <c r="E160" s="366"/>
      <c r="F160" s="372" t="s">
        <v>267</v>
      </c>
      <c r="G160" s="372"/>
      <c r="H160" s="372"/>
      <c r="I160" s="372"/>
      <c r="J160" s="372"/>
      <c r="K160" s="372"/>
      <c r="L160" s="372"/>
      <c r="M160" s="372"/>
      <c r="N160" s="372"/>
      <c r="O160" s="372"/>
      <c r="P160" s="372"/>
      <c r="Q160" s="372"/>
      <c r="R160" s="372"/>
      <c r="S160" s="372"/>
      <c r="T160" s="372"/>
      <c r="U160" s="372" t="s">
        <v>268</v>
      </c>
      <c r="V160" s="372"/>
      <c r="W160" s="372"/>
      <c r="X160" s="372"/>
      <c r="Y160" s="372"/>
      <c r="Z160" s="373"/>
      <c r="AA160" s="374"/>
      <c r="AB160" s="374"/>
      <c r="AC160" s="374"/>
      <c r="AD160" s="374"/>
      <c r="AE160" s="374"/>
      <c r="AF160" s="374"/>
      <c r="AG160" s="375"/>
      <c r="AH160" s="370"/>
      <c r="AI160" s="370"/>
      <c r="AJ160" s="370"/>
      <c r="AK160" s="370"/>
      <c r="AL160" s="370"/>
      <c r="AM160" s="370"/>
      <c r="AN160" s="370"/>
      <c r="AO160" s="370"/>
      <c r="AP160" s="371"/>
    </row>
    <row r="161" spans="1:44" s="15" customFormat="1" ht="27.95" customHeight="1">
      <c r="A161" s="351" t="s">
        <v>269</v>
      </c>
      <c r="B161" s="352"/>
      <c r="C161" s="352"/>
      <c r="D161" s="352"/>
      <c r="E161" s="352"/>
      <c r="F161" s="352"/>
      <c r="G161" s="352"/>
      <c r="H161" s="352"/>
      <c r="I161" s="352"/>
      <c r="J161" s="352"/>
      <c r="K161" s="352"/>
      <c r="L161" s="352"/>
      <c r="M161" s="352"/>
      <c r="N161" s="352"/>
      <c r="O161" s="352"/>
      <c r="P161" s="352"/>
      <c r="Q161" s="352"/>
      <c r="R161" s="352"/>
      <c r="S161" s="352"/>
      <c r="T161" s="352"/>
      <c r="U161" s="353" t="s">
        <v>270</v>
      </c>
      <c r="V161" s="353"/>
      <c r="W161" s="353"/>
      <c r="X161" s="353"/>
      <c r="Y161" s="353"/>
      <c r="Z161" s="353"/>
      <c r="AA161" s="353"/>
      <c r="AB161" s="353"/>
      <c r="AC161" s="353"/>
      <c r="AD161" s="353"/>
      <c r="AE161" s="353"/>
      <c r="AF161" s="353"/>
      <c r="AG161" s="353"/>
      <c r="AH161" s="353"/>
      <c r="AI161" s="353"/>
      <c r="AJ161" s="353"/>
      <c r="AK161" s="353"/>
      <c r="AL161" s="353"/>
      <c r="AM161" s="353"/>
      <c r="AN161" s="353"/>
      <c r="AO161" s="353"/>
      <c r="AP161" s="354"/>
    </row>
    <row r="162" spans="1:44" s="15" customFormat="1" ht="27.95" customHeight="1">
      <c r="A162" s="355" t="s">
        <v>271</v>
      </c>
      <c r="B162" s="356"/>
      <c r="C162" s="356"/>
      <c r="D162" s="356"/>
      <c r="E162" s="356"/>
      <c r="F162" s="356"/>
      <c r="G162" s="356"/>
      <c r="H162" s="356"/>
      <c r="I162" s="356"/>
      <c r="J162" s="356"/>
      <c r="K162" s="356"/>
      <c r="L162" s="356"/>
      <c r="M162" s="356"/>
      <c r="N162" s="356"/>
      <c r="O162" s="356"/>
      <c r="P162" s="356"/>
      <c r="Q162" s="356"/>
      <c r="R162" s="356"/>
      <c r="S162" s="356"/>
      <c r="T162" s="356"/>
      <c r="U162" s="357" t="s">
        <v>272</v>
      </c>
      <c r="V162" s="357"/>
      <c r="W162" s="357"/>
      <c r="X162" s="357"/>
      <c r="Y162" s="357"/>
      <c r="Z162" s="357"/>
      <c r="AA162" s="357"/>
      <c r="AB162" s="357"/>
      <c r="AC162" s="357"/>
      <c r="AD162" s="357"/>
      <c r="AE162" s="357"/>
      <c r="AF162" s="357"/>
      <c r="AG162" s="357"/>
      <c r="AH162" s="357"/>
      <c r="AI162" s="357"/>
      <c r="AJ162" s="357"/>
      <c r="AK162" s="357"/>
      <c r="AL162" s="357"/>
      <c r="AM162" s="357"/>
      <c r="AN162" s="357"/>
      <c r="AO162" s="357"/>
      <c r="AP162" s="358"/>
    </row>
    <row r="163" spans="1:44" s="15" customFormat="1" ht="14.25" thickBot="1">
      <c r="A163" s="359" t="s">
        <v>273</v>
      </c>
      <c r="B163" s="360"/>
      <c r="C163" s="360"/>
      <c r="D163" s="360"/>
      <c r="E163" s="360"/>
      <c r="F163" s="360"/>
      <c r="G163" s="360"/>
      <c r="H163" s="360"/>
      <c r="I163" s="360"/>
      <c r="J163" s="360"/>
      <c r="K163" s="361" t="s">
        <v>274</v>
      </c>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c r="AG163" s="361"/>
      <c r="AH163" s="361"/>
      <c r="AI163" s="361"/>
      <c r="AJ163" s="361"/>
      <c r="AK163" s="361"/>
      <c r="AL163" s="361"/>
      <c r="AM163" s="361"/>
      <c r="AN163" s="361"/>
      <c r="AO163" s="361"/>
      <c r="AP163" s="362"/>
    </row>
    <row r="164" spans="1:44" ht="12.75" customHeight="1">
      <c r="A164" s="411" t="s">
        <v>72</v>
      </c>
      <c r="B164" s="412"/>
      <c r="C164" s="412"/>
      <c r="D164" s="412"/>
      <c r="E164" s="412"/>
      <c r="F164" s="412"/>
      <c r="G164" s="412"/>
      <c r="H164" s="412"/>
      <c r="I164" s="412"/>
      <c r="J164" s="412"/>
      <c r="K164" s="412"/>
      <c r="L164" s="412"/>
      <c r="M164" s="412"/>
      <c r="N164" s="412"/>
      <c r="O164" s="412"/>
      <c r="P164" s="412"/>
      <c r="Q164" s="412"/>
      <c r="R164" s="412"/>
      <c r="S164" s="412"/>
      <c r="T164" s="412"/>
      <c r="U164" s="412"/>
      <c r="V164" s="412"/>
      <c r="W164" s="412"/>
      <c r="X164" s="412"/>
      <c r="Y164" s="412"/>
      <c r="Z164" s="412"/>
      <c r="AA164" s="412"/>
      <c r="AB164" s="412"/>
      <c r="AC164" s="412"/>
      <c r="AD164" s="412"/>
      <c r="AE164" s="412"/>
      <c r="AF164" s="412"/>
      <c r="AG164" s="412"/>
      <c r="AH164" s="412"/>
      <c r="AI164" s="412"/>
      <c r="AJ164" s="412"/>
      <c r="AK164" s="412"/>
      <c r="AL164" s="412"/>
      <c r="AM164" s="412"/>
      <c r="AN164" s="412"/>
      <c r="AO164" s="412"/>
      <c r="AP164" s="413"/>
    </row>
    <row r="165" spans="1:44" s="15" customFormat="1" ht="27.95" customHeight="1">
      <c r="A165" s="342" t="s">
        <v>275</v>
      </c>
      <c r="B165" s="343"/>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c r="AB165" s="343"/>
      <c r="AC165" s="343"/>
      <c r="AD165" s="343"/>
      <c r="AE165" s="343"/>
      <c r="AF165" s="343"/>
      <c r="AG165" s="343"/>
      <c r="AH165" s="343"/>
      <c r="AI165" s="343"/>
      <c r="AJ165" s="343"/>
      <c r="AK165" s="343"/>
      <c r="AL165" s="343"/>
      <c r="AM165" s="343"/>
      <c r="AN165" s="343"/>
      <c r="AO165" s="343"/>
      <c r="AP165" s="344"/>
    </row>
    <row r="166" spans="1:44" s="15" customFormat="1" ht="11.25" customHeight="1">
      <c r="A166" s="345" t="s">
        <v>276</v>
      </c>
      <c r="B166" s="346"/>
      <c r="C166" s="346"/>
      <c r="D166" s="346"/>
      <c r="E166" s="346"/>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s="346"/>
      <c r="AL166" s="346"/>
      <c r="AM166" s="346"/>
      <c r="AN166" s="346"/>
      <c r="AO166" s="346"/>
      <c r="AP166" s="347"/>
    </row>
    <row r="167" spans="1:44" s="15" customFormat="1" ht="12" customHeight="1">
      <c r="A167" s="348" t="s">
        <v>277</v>
      </c>
      <c r="B167" s="349"/>
      <c r="C167" s="349"/>
      <c r="D167" s="349"/>
      <c r="E167" s="349"/>
      <c r="F167" s="349"/>
      <c r="G167" s="349"/>
      <c r="H167" s="349"/>
      <c r="I167" s="349"/>
      <c r="J167" s="349"/>
      <c r="K167" s="349"/>
      <c r="L167" s="349"/>
      <c r="M167" s="349"/>
      <c r="N167" s="349"/>
      <c r="O167" s="349"/>
      <c r="P167" s="349"/>
      <c r="Q167" s="349"/>
      <c r="R167" s="349"/>
      <c r="S167" s="349"/>
      <c r="T167" s="349"/>
      <c r="U167" s="349"/>
      <c r="V167" s="349"/>
      <c r="W167" s="349"/>
      <c r="X167" s="349"/>
      <c r="Y167" s="349"/>
      <c r="Z167" s="349"/>
      <c r="AA167" s="349"/>
      <c r="AB167" s="349"/>
      <c r="AC167" s="349"/>
      <c r="AD167" s="349"/>
      <c r="AE167" s="349"/>
      <c r="AF167" s="349"/>
      <c r="AG167" s="349"/>
      <c r="AH167" s="349"/>
      <c r="AI167" s="349"/>
      <c r="AJ167" s="349"/>
      <c r="AK167" s="349"/>
      <c r="AL167" s="349"/>
      <c r="AM167" s="349"/>
      <c r="AN167" s="349"/>
      <c r="AO167" s="349"/>
      <c r="AP167" s="350"/>
    </row>
    <row r="168" spans="1:44" s="15" customFormat="1" ht="12"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row>
    <row r="169" spans="1:44" ht="15" customHeight="1" thickBot="1">
      <c r="A169" s="819" t="s">
        <v>278</v>
      </c>
      <c r="B169" s="819"/>
      <c r="C169" s="819"/>
      <c r="D169" s="819"/>
      <c r="E169" s="819"/>
      <c r="F169" s="819"/>
      <c r="G169" s="819"/>
      <c r="H169" s="819"/>
      <c r="I169" s="819"/>
      <c r="J169" s="819"/>
      <c r="K169" s="819"/>
      <c r="L169" s="819"/>
      <c r="M169" s="819"/>
      <c r="N169" s="819"/>
      <c r="O169" s="819"/>
      <c r="P169" s="819"/>
      <c r="Q169" s="819"/>
      <c r="R169" s="819"/>
      <c r="S169" s="819"/>
      <c r="T169" s="819"/>
      <c r="U169" s="819"/>
      <c r="V169" s="819"/>
      <c r="W169" s="819"/>
      <c r="X169" s="819"/>
      <c r="Y169" s="819"/>
      <c r="Z169" s="819"/>
      <c r="AA169" s="819"/>
      <c r="AB169" s="819"/>
      <c r="AC169" s="819"/>
      <c r="AD169" s="819"/>
      <c r="AE169" s="819"/>
      <c r="AF169" s="819"/>
      <c r="AG169" s="819"/>
      <c r="AH169" s="819"/>
      <c r="AI169" s="819"/>
      <c r="AJ169" s="819"/>
      <c r="AK169" s="819"/>
      <c r="AL169" s="819"/>
      <c r="AM169" s="819"/>
      <c r="AN169" s="819"/>
      <c r="AO169" s="819"/>
      <c r="AP169" s="819"/>
    </row>
    <row r="170" spans="1:44" s="15" customFormat="1" ht="19.5" customHeight="1">
      <c r="A170" s="334" t="s">
        <v>279</v>
      </c>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c r="AG170" s="335"/>
      <c r="AH170" s="335"/>
      <c r="AI170" s="335"/>
      <c r="AJ170" s="335"/>
      <c r="AK170" s="335"/>
      <c r="AL170" s="335"/>
      <c r="AM170" s="335"/>
      <c r="AN170" s="335"/>
      <c r="AO170" s="335"/>
      <c r="AP170" s="336"/>
    </row>
    <row r="171" spans="1:44" s="15" customFormat="1" ht="224.25" customHeight="1">
      <c r="A171" s="246" t="s">
        <v>483</v>
      </c>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c r="AC171" s="247"/>
      <c r="AD171" s="247"/>
      <c r="AE171" s="247"/>
      <c r="AF171" s="247"/>
      <c r="AG171" s="247"/>
      <c r="AH171" s="247"/>
      <c r="AI171" s="247"/>
      <c r="AJ171" s="247"/>
      <c r="AK171" s="247"/>
      <c r="AL171" s="247"/>
      <c r="AM171" s="247"/>
      <c r="AN171" s="247"/>
      <c r="AO171" s="247"/>
      <c r="AP171" s="248"/>
    </row>
    <row r="172" spans="1:44" s="15" customFormat="1" ht="21.75" customHeight="1">
      <c r="A172" s="327" t="s">
        <v>280</v>
      </c>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c r="X172" s="328"/>
      <c r="Y172" s="328"/>
      <c r="Z172" s="328"/>
      <c r="AA172" s="328"/>
      <c r="AB172" s="328"/>
      <c r="AC172" s="328"/>
      <c r="AD172" s="328"/>
      <c r="AE172" s="328"/>
      <c r="AF172" s="328"/>
      <c r="AG172" s="328"/>
      <c r="AH172" s="328"/>
      <c r="AI172" s="328"/>
      <c r="AJ172" s="328"/>
      <c r="AK172" s="328"/>
      <c r="AL172" s="328"/>
      <c r="AM172" s="328"/>
      <c r="AN172" s="328"/>
      <c r="AO172" s="328"/>
      <c r="AP172" s="329"/>
      <c r="AQ172" s="17"/>
      <c r="AR172" s="17"/>
    </row>
    <row r="173" spans="1:44" s="15" customFormat="1" ht="18.75" customHeight="1">
      <c r="A173" s="337" t="s">
        <v>281</v>
      </c>
      <c r="B173" s="337"/>
      <c r="C173" s="330" t="s">
        <v>282</v>
      </c>
      <c r="D173" s="330"/>
      <c r="E173" s="330"/>
      <c r="F173" s="338" t="s">
        <v>283</v>
      </c>
      <c r="G173" s="339"/>
      <c r="H173" s="339"/>
      <c r="I173" s="339"/>
      <c r="J173" s="339"/>
      <c r="K173" s="339"/>
      <c r="L173" s="339"/>
      <c r="M173" s="339"/>
      <c r="N173" s="339"/>
      <c r="O173" s="339"/>
      <c r="P173" s="339"/>
      <c r="Q173" s="339"/>
      <c r="R173" s="339"/>
      <c r="S173" s="339"/>
      <c r="T173" s="339"/>
      <c r="U173" s="339"/>
      <c r="V173" s="339"/>
      <c r="W173" s="339"/>
      <c r="X173" s="339"/>
      <c r="Y173" s="339"/>
      <c r="Z173" s="339"/>
      <c r="AA173" s="339"/>
      <c r="AB173" s="339"/>
      <c r="AC173" s="339"/>
      <c r="AD173" s="339"/>
      <c r="AE173" s="339"/>
      <c r="AF173" s="339"/>
      <c r="AG173" s="339"/>
      <c r="AH173" s="339"/>
      <c r="AI173" s="339"/>
      <c r="AJ173" s="339"/>
      <c r="AK173" s="339"/>
      <c r="AL173" s="339"/>
      <c r="AM173" s="339"/>
      <c r="AN173" s="339"/>
      <c r="AO173" s="339"/>
      <c r="AP173" s="339"/>
    </row>
    <row r="174" spans="1:44" s="15" customFormat="1" ht="46.5" customHeight="1">
      <c r="A174" s="305"/>
      <c r="B174" s="305"/>
      <c r="C174" s="305" t="s">
        <v>284</v>
      </c>
      <c r="D174" s="306"/>
      <c r="E174" s="306"/>
      <c r="F174" s="340" t="s">
        <v>473</v>
      </c>
      <c r="G174" s="341"/>
      <c r="H174" s="341"/>
      <c r="I174" s="341"/>
      <c r="J174" s="341"/>
      <c r="K174" s="341"/>
      <c r="L174" s="341"/>
      <c r="M174" s="341"/>
      <c r="N174" s="341"/>
      <c r="O174" s="341"/>
      <c r="P174" s="341"/>
      <c r="Q174" s="341"/>
      <c r="R174" s="341"/>
      <c r="S174" s="341"/>
      <c r="T174" s="341"/>
      <c r="U174" s="341"/>
      <c r="V174" s="341"/>
      <c r="W174" s="341"/>
      <c r="X174" s="341"/>
      <c r="Y174" s="341"/>
      <c r="Z174" s="341"/>
      <c r="AA174" s="341"/>
      <c r="AB174" s="341"/>
      <c r="AC174" s="341"/>
      <c r="AD174" s="341"/>
      <c r="AE174" s="341"/>
      <c r="AF174" s="341"/>
      <c r="AG174" s="341"/>
      <c r="AH174" s="341"/>
      <c r="AI174" s="341"/>
      <c r="AJ174" s="341"/>
      <c r="AK174" s="341"/>
      <c r="AL174" s="341"/>
      <c r="AM174" s="341"/>
      <c r="AN174" s="341"/>
      <c r="AO174" s="341"/>
      <c r="AP174" s="341"/>
    </row>
    <row r="175" spans="1:44" s="15" customFormat="1" ht="51.75" customHeight="1">
      <c r="A175" s="305"/>
      <c r="B175" s="305"/>
      <c r="C175" s="305" t="s">
        <v>285</v>
      </c>
      <c r="D175" s="306"/>
      <c r="E175" s="306"/>
      <c r="F175" s="340" t="s">
        <v>286</v>
      </c>
      <c r="G175" s="341"/>
      <c r="H175" s="341"/>
      <c r="I175" s="341"/>
      <c r="J175" s="341"/>
      <c r="K175" s="341"/>
      <c r="L175" s="341"/>
      <c r="M175" s="341"/>
      <c r="N175" s="341"/>
      <c r="O175" s="341"/>
      <c r="P175" s="341"/>
      <c r="Q175" s="341"/>
      <c r="R175" s="341"/>
      <c r="S175" s="341"/>
      <c r="T175" s="341"/>
      <c r="U175" s="341"/>
      <c r="V175" s="341"/>
      <c r="W175" s="341"/>
      <c r="X175" s="341"/>
      <c r="Y175" s="341"/>
      <c r="Z175" s="341"/>
      <c r="AA175" s="341"/>
      <c r="AB175" s="341"/>
      <c r="AC175" s="341"/>
      <c r="AD175" s="341"/>
      <c r="AE175" s="341"/>
      <c r="AF175" s="341"/>
      <c r="AG175" s="341"/>
      <c r="AH175" s="341"/>
      <c r="AI175" s="341"/>
      <c r="AJ175" s="341"/>
      <c r="AK175" s="341"/>
      <c r="AL175" s="341"/>
      <c r="AM175" s="341"/>
      <c r="AN175" s="341"/>
      <c r="AO175" s="341"/>
      <c r="AP175" s="341"/>
    </row>
    <row r="176" spans="1:44" s="15" customFormat="1" ht="33" customHeight="1">
      <c r="A176" s="324" t="s">
        <v>287</v>
      </c>
      <c r="B176" s="324"/>
      <c r="C176" s="324"/>
      <c r="D176" s="324"/>
      <c r="E176" s="324"/>
      <c r="F176" s="325" t="s">
        <v>288</v>
      </c>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c r="AE176" s="326"/>
      <c r="AF176" s="326"/>
      <c r="AG176" s="326"/>
      <c r="AH176" s="326"/>
      <c r="AI176" s="326"/>
      <c r="AJ176" s="326"/>
      <c r="AK176" s="326"/>
      <c r="AL176" s="326"/>
      <c r="AM176" s="326"/>
      <c r="AN176" s="326"/>
      <c r="AO176" s="326"/>
      <c r="AP176" s="326"/>
    </row>
    <row r="177" spans="1:42" s="15" customFormat="1" ht="20.25" customHeight="1">
      <c r="A177" s="327" t="s">
        <v>289</v>
      </c>
      <c r="B177" s="328"/>
      <c r="C177" s="328"/>
      <c r="D177" s="328"/>
      <c r="E177" s="328"/>
      <c r="F177" s="328"/>
      <c r="G177" s="328"/>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c r="AN177" s="328"/>
      <c r="AO177" s="328"/>
      <c r="AP177" s="329"/>
    </row>
    <row r="178" spans="1:42" s="15" customFormat="1" ht="36" customHeight="1">
      <c r="A178" s="330" t="s">
        <v>290</v>
      </c>
      <c r="B178" s="330"/>
      <c r="C178" s="330"/>
      <c r="D178" s="330"/>
      <c r="E178" s="330"/>
      <c r="F178" s="331" t="s">
        <v>291</v>
      </c>
      <c r="G178" s="332"/>
      <c r="H178" s="332"/>
      <c r="I178" s="332"/>
      <c r="J178" s="332"/>
      <c r="K178" s="332"/>
      <c r="L178" s="332"/>
      <c r="M178" s="332"/>
      <c r="N178" s="332"/>
      <c r="O178" s="332"/>
      <c r="P178" s="332"/>
      <c r="Q178" s="332"/>
      <c r="R178" s="332"/>
      <c r="S178" s="332"/>
      <c r="T178" s="332"/>
      <c r="U178" s="332"/>
      <c r="V178" s="332"/>
      <c r="W178" s="332"/>
      <c r="X178" s="332"/>
      <c r="Y178" s="332"/>
      <c r="Z178" s="332"/>
      <c r="AA178" s="332"/>
      <c r="AB178" s="332"/>
      <c r="AC178" s="332"/>
      <c r="AD178" s="332"/>
      <c r="AE178" s="332"/>
      <c r="AF178" s="332"/>
      <c r="AG178" s="332"/>
      <c r="AH178" s="332"/>
      <c r="AI178" s="332"/>
      <c r="AJ178" s="332"/>
      <c r="AK178" s="332"/>
      <c r="AL178" s="332"/>
      <c r="AM178" s="332"/>
      <c r="AN178" s="332"/>
      <c r="AO178" s="332"/>
      <c r="AP178" s="332"/>
    </row>
    <row r="179" spans="1:42" s="15" customFormat="1" ht="36" customHeight="1">
      <c r="A179" s="306" t="s">
        <v>292</v>
      </c>
      <c r="B179" s="306"/>
      <c r="C179" s="306"/>
      <c r="D179" s="306"/>
      <c r="E179" s="306"/>
      <c r="F179" s="250" t="s">
        <v>484</v>
      </c>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row>
    <row r="180" spans="1:42" s="15" customFormat="1" ht="36" customHeight="1">
      <c r="A180" s="305" t="s">
        <v>293</v>
      </c>
      <c r="B180" s="306"/>
      <c r="C180" s="306"/>
      <c r="D180" s="306"/>
      <c r="E180" s="306"/>
      <c r="F180" s="251" t="s">
        <v>294</v>
      </c>
      <c r="G180" s="307"/>
      <c r="H180" s="307"/>
      <c r="I180" s="307"/>
      <c r="J180" s="307"/>
      <c r="K180" s="307"/>
      <c r="L180" s="307"/>
      <c r="M180" s="307"/>
      <c r="N180" s="307"/>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c r="AK180" s="307"/>
      <c r="AL180" s="307"/>
      <c r="AM180" s="307"/>
      <c r="AN180" s="307"/>
      <c r="AO180" s="307"/>
      <c r="AP180" s="307"/>
    </row>
    <row r="181" spans="1:42" s="15" customFormat="1" ht="77.25" customHeight="1">
      <c r="A181" s="249" t="s">
        <v>295</v>
      </c>
      <c r="B181" s="249"/>
      <c r="C181" s="249"/>
      <c r="D181" s="308" t="s">
        <v>296</v>
      </c>
      <c r="E181" s="308"/>
      <c r="F181" s="251" t="s">
        <v>485</v>
      </c>
      <c r="G181" s="307"/>
      <c r="H181" s="307"/>
      <c r="I181" s="307"/>
      <c r="J181" s="307"/>
      <c r="K181" s="307"/>
      <c r="L181" s="307"/>
      <c r="M181" s="307"/>
      <c r="N181" s="307"/>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c r="AK181" s="307"/>
      <c r="AL181" s="307"/>
      <c r="AM181" s="307"/>
      <c r="AN181" s="307"/>
      <c r="AO181" s="307"/>
      <c r="AP181" s="307"/>
    </row>
    <row r="182" spans="1:42" s="15" customFormat="1" ht="18" customHeight="1">
      <c r="A182" s="249"/>
      <c r="B182" s="249"/>
      <c r="C182" s="249"/>
      <c r="D182" s="309" t="s">
        <v>297</v>
      </c>
      <c r="E182" s="309"/>
      <c r="F182" s="310" t="s">
        <v>298</v>
      </c>
      <c r="G182" s="311"/>
      <c r="H182" s="311"/>
      <c r="I182" s="311"/>
      <c r="J182" s="312"/>
      <c r="K182" s="310" t="s">
        <v>299</v>
      </c>
      <c r="L182" s="311"/>
      <c r="M182" s="311"/>
      <c r="N182" s="311"/>
      <c r="O182" s="311"/>
      <c r="P182" s="311"/>
      <c r="Q182" s="312"/>
      <c r="R182" s="310" t="s">
        <v>300</v>
      </c>
      <c r="S182" s="311"/>
      <c r="T182" s="311"/>
      <c r="U182" s="311"/>
      <c r="V182" s="311"/>
      <c r="W182" s="311"/>
      <c r="X182" s="311"/>
      <c r="Y182" s="311"/>
      <c r="Z182" s="311"/>
      <c r="AA182" s="311"/>
      <c r="AB182" s="311"/>
      <c r="AC182" s="311"/>
      <c r="AD182" s="311"/>
      <c r="AE182" s="311"/>
      <c r="AF182" s="311"/>
      <c r="AG182" s="311"/>
      <c r="AH182" s="311"/>
      <c r="AI182" s="311"/>
      <c r="AJ182" s="311"/>
      <c r="AK182" s="311"/>
      <c r="AL182" s="311"/>
      <c r="AM182" s="311"/>
      <c r="AN182" s="311"/>
      <c r="AO182" s="311"/>
      <c r="AP182" s="312"/>
    </row>
    <row r="183" spans="1:42" s="15" customFormat="1" ht="18" customHeight="1">
      <c r="A183" s="249"/>
      <c r="B183" s="249"/>
      <c r="C183" s="249"/>
      <c r="D183" s="309"/>
      <c r="E183" s="309"/>
      <c r="F183" s="313" t="s">
        <v>488</v>
      </c>
      <c r="G183" s="314"/>
      <c r="H183" s="314"/>
      <c r="I183" s="314"/>
      <c r="J183" s="315"/>
      <c r="K183" s="282" t="s">
        <v>487</v>
      </c>
      <c r="L183" s="283"/>
      <c r="M183" s="283"/>
      <c r="N183" s="283"/>
      <c r="O183" s="283"/>
      <c r="P183" s="283"/>
      <c r="Q183" s="284"/>
      <c r="R183" s="288" t="s">
        <v>486</v>
      </c>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90"/>
    </row>
    <row r="184" spans="1:42" s="15" customFormat="1" ht="27" customHeight="1">
      <c r="A184" s="249"/>
      <c r="B184" s="249"/>
      <c r="C184" s="249"/>
      <c r="D184" s="309"/>
      <c r="E184" s="309"/>
      <c r="F184" s="316"/>
      <c r="G184" s="317"/>
      <c r="H184" s="317"/>
      <c r="I184" s="317"/>
      <c r="J184" s="318"/>
      <c r="K184" s="285"/>
      <c r="L184" s="286"/>
      <c r="M184" s="286"/>
      <c r="N184" s="286"/>
      <c r="O184" s="286"/>
      <c r="P184" s="286"/>
      <c r="Q184" s="287"/>
      <c r="R184" s="291"/>
      <c r="S184" s="292"/>
      <c r="T184" s="292"/>
      <c r="U184" s="292"/>
      <c r="V184" s="292"/>
      <c r="W184" s="292"/>
      <c r="X184" s="292"/>
      <c r="Y184" s="292"/>
      <c r="Z184" s="292"/>
      <c r="AA184" s="292"/>
      <c r="AB184" s="292"/>
      <c r="AC184" s="292"/>
      <c r="AD184" s="292"/>
      <c r="AE184" s="292"/>
      <c r="AF184" s="292"/>
      <c r="AG184" s="292"/>
      <c r="AH184" s="292"/>
      <c r="AI184" s="292"/>
      <c r="AJ184" s="292"/>
      <c r="AK184" s="292"/>
      <c r="AL184" s="292"/>
      <c r="AM184" s="292"/>
      <c r="AN184" s="292"/>
      <c r="AO184" s="292"/>
      <c r="AP184" s="293"/>
    </row>
    <row r="185" spans="1:42" s="15" customFormat="1" ht="195.75" customHeight="1">
      <c r="A185" s="294" t="s">
        <v>301</v>
      </c>
      <c r="B185" s="295"/>
      <c r="C185" s="296"/>
      <c r="D185" s="319" t="s">
        <v>489</v>
      </c>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c r="AA185" s="320"/>
      <c r="AB185" s="320"/>
      <c r="AC185" s="320"/>
      <c r="AD185" s="320"/>
      <c r="AE185" s="320"/>
      <c r="AF185" s="320"/>
      <c r="AG185" s="320"/>
      <c r="AH185" s="320"/>
      <c r="AI185" s="320"/>
      <c r="AJ185" s="320"/>
      <c r="AK185" s="320"/>
      <c r="AL185" s="320"/>
      <c r="AM185" s="320"/>
      <c r="AN185" s="320"/>
      <c r="AO185" s="320"/>
      <c r="AP185" s="321"/>
    </row>
    <row r="186" spans="1:42" s="15" customFormat="1" ht="14.25" customHeight="1">
      <c r="A186" s="48"/>
      <c r="B186" s="48"/>
      <c r="C186" s="48"/>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row>
    <row r="187" spans="1:42" ht="15" customHeight="1" thickBot="1">
      <c r="A187" s="819" t="s">
        <v>302</v>
      </c>
      <c r="B187" s="819"/>
      <c r="C187" s="819"/>
      <c r="D187" s="819"/>
      <c r="E187" s="819"/>
      <c r="F187" s="819"/>
      <c r="G187" s="819"/>
      <c r="H187" s="819"/>
      <c r="I187" s="819"/>
      <c r="J187" s="819"/>
      <c r="K187" s="819"/>
      <c r="L187" s="819"/>
      <c r="M187" s="819"/>
      <c r="N187" s="819"/>
      <c r="O187" s="819"/>
      <c r="P187" s="819"/>
      <c r="Q187" s="819"/>
      <c r="R187" s="819"/>
      <c r="S187" s="819"/>
      <c r="T187" s="819"/>
      <c r="U187" s="819"/>
      <c r="V187" s="819"/>
      <c r="W187" s="819"/>
      <c r="X187" s="819"/>
      <c r="Y187" s="819"/>
      <c r="Z187" s="819"/>
      <c r="AA187" s="819"/>
      <c r="AB187" s="819"/>
      <c r="AC187" s="819"/>
      <c r="AD187" s="819"/>
      <c r="AE187" s="819"/>
      <c r="AF187" s="819"/>
      <c r="AG187" s="819"/>
      <c r="AH187" s="819"/>
      <c r="AI187" s="819"/>
      <c r="AJ187" s="819"/>
      <c r="AK187" s="819"/>
      <c r="AL187" s="819"/>
      <c r="AM187" s="819"/>
      <c r="AN187" s="819"/>
      <c r="AO187" s="819"/>
      <c r="AP187" s="819"/>
    </row>
    <row r="188" spans="1:42" s="18" customFormat="1" ht="16.5" customHeight="1">
      <c r="B188" s="19"/>
      <c r="C188" s="19"/>
      <c r="D188" s="53"/>
    </row>
    <row r="189" spans="1:42" s="18" customFormat="1" ht="16.5" customHeight="1">
      <c r="A189" s="297" t="s">
        <v>301</v>
      </c>
      <c r="B189" s="298"/>
      <c r="C189" s="298"/>
      <c r="D189" s="299"/>
      <c r="E189" s="300" t="s">
        <v>303</v>
      </c>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2"/>
    </row>
    <row r="190" spans="1:42" s="18" customFormat="1" ht="16.5" customHeight="1">
      <c r="A190" s="297"/>
      <c r="B190" s="298"/>
      <c r="C190" s="298"/>
      <c r="D190" s="299"/>
      <c r="E190" s="50"/>
      <c r="F190" s="303" t="s">
        <v>490</v>
      </c>
      <c r="G190" s="303"/>
      <c r="H190" s="303"/>
      <c r="I190" s="303"/>
      <c r="J190" s="303"/>
      <c r="K190" s="303"/>
      <c r="L190" s="303"/>
      <c r="M190" s="303"/>
      <c r="N190" s="303"/>
      <c r="O190" s="303"/>
      <c r="P190" s="303"/>
      <c r="Q190" s="303"/>
      <c r="R190" s="303"/>
      <c r="S190" s="303"/>
      <c r="T190" s="303"/>
      <c r="U190" s="303"/>
      <c r="V190" s="303"/>
      <c r="W190" s="303"/>
      <c r="X190" s="303" t="s">
        <v>304</v>
      </c>
      <c r="Y190" s="303"/>
      <c r="Z190" s="303"/>
      <c r="AA190" s="303"/>
      <c r="AB190" s="303"/>
      <c r="AC190" s="303"/>
      <c r="AD190" s="303"/>
      <c r="AE190" s="303"/>
      <c r="AF190" s="303"/>
      <c r="AG190" s="303"/>
      <c r="AH190" s="303"/>
      <c r="AI190" s="303"/>
      <c r="AJ190" s="303"/>
      <c r="AK190" s="303"/>
      <c r="AL190" s="303"/>
      <c r="AM190" s="303"/>
      <c r="AN190" s="303"/>
      <c r="AO190" s="303"/>
      <c r="AP190" s="51"/>
    </row>
    <row r="191" spans="1:42" s="18" customFormat="1" ht="53.25" customHeight="1">
      <c r="A191" s="297"/>
      <c r="B191" s="298"/>
      <c r="C191" s="298"/>
      <c r="D191" s="299"/>
      <c r="E191" s="52"/>
      <c r="F191" s="304" t="s">
        <v>474</v>
      </c>
      <c r="G191" s="304"/>
      <c r="H191" s="304"/>
      <c r="I191" s="304"/>
      <c r="J191" s="304"/>
      <c r="K191" s="304"/>
      <c r="L191" s="304"/>
      <c r="M191" s="304"/>
      <c r="N191" s="304"/>
      <c r="O191" s="304"/>
      <c r="P191" s="304"/>
      <c r="Q191" s="304"/>
      <c r="R191" s="304"/>
      <c r="S191" s="304"/>
      <c r="T191" s="304"/>
      <c r="U191" s="304"/>
      <c r="V191" s="304"/>
      <c r="W191" s="304"/>
      <c r="X191" s="275" t="s">
        <v>305</v>
      </c>
      <c r="Y191" s="275"/>
      <c r="Z191" s="275"/>
      <c r="AA191" s="275"/>
      <c r="AB191" s="275"/>
      <c r="AC191" s="275"/>
      <c r="AD191" s="275"/>
      <c r="AE191" s="275"/>
      <c r="AF191" s="275"/>
      <c r="AG191" s="275"/>
      <c r="AH191" s="275"/>
      <c r="AI191" s="275"/>
      <c r="AJ191" s="275"/>
      <c r="AK191" s="275"/>
      <c r="AL191" s="275"/>
      <c r="AM191" s="275"/>
      <c r="AN191" s="275"/>
      <c r="AO191" s="275"/>
      <c r="AP191" s="51"/>
    </row>
    <row r="192" spans="1:42" s="18" customFormat="1" ht="93.75" customHeight="1">
      <c r="A192" s="297"/>
      <c r="B192" s="298"/>
      <c r="C192" s="298"/>
      <c r="D192" s="299"/>
      <c r="E192" s="52"/>
      <c r="F192" s="276" t="s">
        <v>475</v>
      </c>
      <c r="G192" s="276"/>
      <c r="H192" s="276"/>
      <c r="I192" s="276"/>
      <c r="J192" s="276"/>
      <c r="K192" s="276"/>
      <c r="L192" s="276"/>
      <c r="M192" s="276"/>
      <c r="N192" s="276"/>
      <c r="O192" s="276"/>
      <c r="P192" s="276"/>
      <c r="Q192" s="276"/>
      <c r="R192" s="276"/>
      <c r="S192" s="276"/>
      <c r="T192" s="276"/>
      <c r="U192" s="276"/>
      <c r="V192" s="276"/>
      <c r="W192" s="276"/>
      <c r="X192" s="276" t="s">
        <v>476</v>
      </c>
      <c r="Y192" s="276"/>
      <c r="Z192" s="276"/>
      <c r="AA192" s="276"/>
      <c r="AB192" s="276"/>
      <c r="AC192" s="276"/>
      <c r="AD192" s="276"/>
      <c r="AE192" s="276"/>
      <c r="AF192" s="276"/>
      <c r="AG192" s="276"/>
      <c r="AH192" s="276"/>
      <c r="AI192" s="276"/>
      <c r="AJ192" s="276"/>
      <c r="AK192" s="276"/>
      <c r="AL192" s="276"/>
      <c r="AM192" s="276"/>
      <c r="AN192" s="276"/>
      <c r="AO192" s="276"/>
      <c r="AP192" s="51"/>
    </row>
    <row r="193" spans="1:42" s="18" customFormat="1" ht="122.25" customHeight="1">
      <c r="A193" s="297"/>
      <c r="B193" s="298"/>
      <c r="C193" s="298"/>
      <c r="D193" s="299"/>
      <c r="E193" s="52"/>
      <c r="F193" s="276" t="s">
        <v>478</v>
      </c>
      <c r="G193" s="276"/>
      <c r="H193" s="276"/>
      <c r="I193" s="276"/>
      <c r="J193" s="276"/>
      <c r="K193" s="276"/>
      <c r="L193" s="276"/>
      <c r="M193" s="276"/>
      <c r="N193" s="276"/>
      <c r="O193" s="276"/>
      <c r="P193" s="276"/>
      <c r="Q193" s="276"/>
      <c r="R193" s="276"/>
      <c r="S193" s="276"/>
      <c r="T193" s="276"/>
      <c r="U193" s="276"/>
      <c r="V193" s="276"/>
      <c r="W193" s="276"/>
      <c r="X193" s="276" t="s">
        <v>477</v>
      </c>
      <c r="Y193" s="276"/>
      <c r="Z193" s="276"/>
      <c r="AA193" s="276"/>
      <c r="AB193" s="276"/>
      <c r="AC193" s="276"/>
      <c r="AD193" s="276"/>
      <c r="AE193" s="276"/>
      <c r="AF193" s="276"/>
      <c r="AG193" s="276"/>
      <c r="AH193" s="276"/>
      <c r="AI193" s="276"/>
      <c r="AJ193" s="276"/>
      <c r="AK193" s="276"/>
      <c r="AL193" s="276"/>
      <c r="AM193" s="276"/>
      <c r="AN193" s="276"/>
      <c r="AO193" s="276"/>
      <c r="AP193" s="51"/>
    </row>
    <row r="194" spans="1:42" s="18" customFormat="1" ht="122.25" customHeight="1">
      <c r="A194" s="297"/>
      <c r="B194" s="298"/>
      <c r="C194" s="298"/>
      <c r="D194" s="299"/>
      <c r="E194" s="52"/>
      <c r="F194" s="276" t="s">
        <v>479</v>
      </c>
      <c r="G194" s="276"/>
      <c r="H194" s="276"/>
      <c r="I194" s="276"/>
      <c r="J194" s="276"/>
      <c r="K194" s="276"/>
      <c r="L194" s="276"/>
      <c r="M194" s="276"/>
      <c r="N194" s="276"/>
      <c r="O194" s="276"/>
      <c r="P194" s="276"/>
      <c r="Q194" s="276"/>
      <c r="R194" s="276"/>
      <c r="S194" s="276"/>
      <c r="T194" s="276"/>
      <c r="U194" s="276"/>
      <c r="V194" s="276"/>
      <c r="W194" s="276"/>
      <c r="X194" s="276" t="s">
        <v>480</v>
      </c>
      <c r="Y194" s="276"/>
      <c r="Z194" s="276"/>
      <c r="AA194" s="276"/>
      <c r="AB194" s="276"/>
      <c r="AC194" s="276"/>
      <c r="AD194" s="276"/>
      <c r="AE194" s="276"/>
      <c r="AF194" s="276"/>
      <c r="AG194" s="276"/>
      <c r="AH194" s="276"/>
      <c r="AI194" s="276"/>
      <c r="AJ194" s="276"/>
      <c r="AK194" s="276"/>
      <c r="AL194" s="276"/>
      <c r="AM194" s="276"/>
      <c r="AN194" s="276"/>
      <c r="AO194" s="276"/>
      <c r="AP194" s="51"/>
    </row>
    <row r="195" spans="1:42" s="18" customFormat="1" ht="92.25" customHeight="1">
      <c r="A195" s="297"/>
      <c r="B195" s="298"/>
      <c r="C195" s="298"/>
      <c r="D195" s="299"/>
      <c r="E195" s="277" t="s">
        <v>491</v>
      </c>
      <c r="F195" s="278"/>
      <c r="G195" s="278"/>
      <c r="H195" s="278"/>
      <c r="I195" s="278"/>
      <c r="J195" s="278"/>
      <c r="K195" s="278"/>
      <c r="L195" s="278"/>
      <c r="M195" s="278"/>
      <c r="N195" s="278"/>
      <c r="O195" s="278"/>
      <c r="P195" s="278"/>
      <c r="Q195" s="278"/>
      <c r="R195" s="278"/>
      <c r="S195" s="278"/>
      <c r="T195" s="278"/>
      <c r="U195" s="278"/>
      <c r="V195" s="278"/>
      <c r="W195" s="278"/>
      <c r="X195" s="278"/>
      <c r="Y195" s="278"/>
      <c r="Z195" s="278"/>
      <c r="AA195" s="278"/>
      <c r="AB195" s="278"/>
      <c r="AC195" s="278"/>
      <c r="AD195" s="278"/>
      <c r="AE195" s="278"/>
      <c r="AF195" s="278"/>
      <c r="AG195" s="278"/>
      <c r="AH195" s="278"/>
      <c r="AI195" s="278"/>
      <c r="AJ195" s="278"/>
      <c r="AK195" s="278"/>
      <c r="AL195" s="278"/>
      <c r="AM195" s="278"/>
      <c r="AN195" s="278"/>
      <c r="AO195" s="278"/>
      <c r="AP195" s="279"/>
    </row>
    <row r="196" spans="1:42" s="18" customFormat="1" ht="42" customHeight="1">
      <c r="A196" s="264" t="s">
        <v>306</v>
      </c>
      <c r="B196" s="265"/>
      <c r="C196" s="265"/>
      <c r="D196" s="266"/>
      <c r="E196" s="267" t="s">
        <v>492</v>
      </c>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c r="AJ196" s="268"/>
      <c r="AK196" s="268"/>
      <c r="AL196" s="268"/>
      <c r="AM196" s="268"/>
      <c r="AN196" s="268"/>
      <c r="AO196" s="268"/>
      <c r="AP196" s="269"/>
    </row>
    <row r="197" spans="1:42" s="18" customFormat="1" ht="65.25" customHeight="1">
      <c r="A197" s="20"/>
      <c r="B197" s="20"/>
      <c r="C197" s="20"/>
      <c r="D197" s="20"/>
      <c r="E197" s="21"/>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row>
    <row r="198" spans="1:42" s="18" customFormat="1" ht="68.25" customHeight="1">
      <c r="A198" s="20"/>
      <c r="B198" s="20"/>
      <c r="C198" s="20"/>
      <c r="D198" s="20"/>
      <c r="E198" s="21"/>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row>
    <row r="199" spans="1:42" s="18" customFormat="1" ht="74.25" customHeight="1">
      <c r="A199" s="20"/>
      <c r="B199" s="20"/>
      <c r="C199" s="20"/>
      <c r="D199" s="20"/>
      <c r="E199" s="21"/>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row>
    <row r="200" spans="1:42" ht="14.25" customHeight="1" thickBot="1">
      <c r="A200" s="820" t="s">
        <v>307</v>
      </c>
      <c r="B200" s="820"/>
      <c r="C200" s="820"/>
      <c r="D200" s="820"/>
      <c r="E200" s="820"/>
      <c r="F200" s="820"/>
      <c r="G200" s="820"/>
      <c r="H200" s="820"/>
      <c r="I200" s="820"/>
      <c r="J200" s="820"/>
      <c r="K200" s="820"/>
      <c r="L200" s="820"/>
      <c r="M200" s="820"/>
      <c r="N200" s="820"/>
      <c r="O200" s="820"/>
      <c r="P200" s="820"/>
      <c r="Q200" s="820"/>
      <c r="R200" s="820"/>
      <c r="S200" s="820"/>
      <c r="T200" s="820"/>
      <c r="U200" s="820"/>
      <c r="V200" s="820"/>
      <c r="W200" s="820"/>
      <c r="X200" s="820"/>
      <c r="Y200" s="820"/>
      <c r="Z200" s="820"/>
      <c r="AA200" s="820"/>
      <c r="AB200" s="820"/>
      <c r="AC200" s="820"/>
      <c r="AD200" s="820"/>
      <c r="AE200" s="820"/>
      <c r="AF200" s="820"/>
      <c r="AG200" s="820"/>
      <c r="AH200" s="820"/>
      <c r="AI200" s="820"/>
      <c r="AJ200" s="820"/>
      <c r="AK200" s="820"/>
      <c r="AL200" s="820"/>
      <c r="AM200" s="820"/>
      <c r="AN200" s="820"/>
      <c r="AO200" s="820"/>
      <c r="AP200" s="820"/>
    </row>
    <row r="201" spans="1:42" s="15" customFormat="1" ht="13.5">
      <c r="A201" s="243" t="s">
        <v>308</v>
      </c>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c r="AA201" s="244"/>
      <c r="AB201" s="244"/>
      <c r="AC201" s="244"/>
      <c r="AD201" s="244"/>
      <c r="AE201" s="244"/>
      <c r="AF201" s="244"/>
      <c r="AG201" s="244"/>
      <c r="AH201" s="244"/>
      <c r="AI201" s="244"/>
      <c r="AJ201" s="244"/>
      <c r="AK201" s="244"/>
      <c r="AL201" s="244"/>
      <c r="AM201" s="244"/>
      <c r="AN201" s="244"/>
      <c r="AO201" s="244"/>
      <c r="AP201" s="245"/>
    </row>
    <row r="202" spans="1:42" s="18" customFormat="1" ht="12" customHeight="1">
      <c r="A202" s="270" t="s">
        <v>289</v>
      </c>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c r="AA202" s="271"/>
      <c r="AB202" s="271"/>
      <c r="AC202" s="271"/>
      <c r="AD202" s="271"/>
      <c r="AE202" s="271"/>
      <c r="AF202" s="271"/>
      <c r="AG202" s="271"/>
      <c r="AH202" s="271"/>
      <c r="AI202" s="271"/>
      <c r="AJ202" s="271"/>
      <c r="AK202" s="271"/>
      <c r="AL202" s="271"/>
      <c r="AM202" s="271"/>
      <c r="AN202" s="271"/>
      <c r="AO202" s="271"/>
      <c r="AP202" s="272"/>
    </row>
    <row r="203" spans="1:42" s="18" customFormat="1" ht="27.75" customHeight="1">
      <c r="A203" s="255" t="s">
        <v>309</v>
      </c>
      <c r="B203" s="255"/>
      <c r="C203" s="255"/>
      <c r="D203" s="255"/>
      <c r="E203" s="256" t="s">
        <v>481</v>
      </c>
      <c r="F203" s="257"/>
      <c r="G203" s="257"/>
      <c r="H203" s="257"/>
      <c r="I203" s="257"/>
      <c r="J203" s="257"/>
      <c r="K203" s="257"/>
      <c r="L203" s="257"/>
      <c r="M203" s="257"/>
      <c r="N203" s="257"/>
      <c r="O203" s="257"/>
      <c r="P203" s="257"/>
      <c r="Q203" s="257"/>
      <c r="R203" s="257"/>
      <c r="S203" s="257"/>
      <c r="T203" s="257"/>
      <c r="U203" s="257"/>
      <c r="V203" s="257"/>
      <c r="W203" s="257"/>
      <c r="X203" s="257"/>
      <c r="Y203" s="257"/>
      <c r="Z203" s="257"/>
      <c r="AA203" s="257"/>
      <c r="AB203" s="257"/>
      <c r="AC203" s="257"/>
      <c r="AD203" s="257"/>
      <c r="AE203" s="257"/>
      <c r="AF203" s="257"/>
      <c r="AG203" s="257"/>
      <c r="AH203" s="257"/>
      <c r="AI203" s="257"/>
      <c r="AJ203" s="257"/>
      <c r="AK203" s="257"/>
      <c r="AL203" s="257"/>
      <c r="AM203" s="257"/>
      <c r="AN203" s="257"/>
      <c r="AO203" s="257"/>
      <c r="AP203" s="257"/>
    </row>
    <row r="204" spans="1:42" s="18" customFormat="1" ht="27.75" customHeight="1">
      <c r="A204" s="258" t="s">
        <v>310</v>
      </c>
      <c r="B204" s="259"/>
      <c r="C204" s="259"/>
      <c r="D204" s="259"/>
      <c r="E204" s="256" t="s">
        <v>311</v>
      </c>
      <c r="F204" s="257"/>
      <c r="G204" s="257"/>
      <c r="H204" s="257"/>
      <c r="I204" s="257"/>
      <c r="J204" s="257"/>
      <c r="K204" s="257"/>
      <c r="L204" s="257"/>
      <c r="M204" s="257"/>
      <c r="N204" s="257"/>
      <c r="O204" s="257"/>
      <c r="P204" s="257"/>
      <c r="Q204" s="257"/>
      <c r="R204" s="257"/>
      <c r="S204" s="257"/>
      <c r="T204" s="257"/>
      <c r="U204" s="257"/>
      <c r="V204" s="257"/>
      <c r="W204" s="257"/>
      <c r="X204" s="257"/>
      <c r="Y204" s="257"/>
      <c r="Z204" s="257"/>
      <c r="AA204" s="257"/>
      <c r="AB204" s="257"/>
      <c r="AC204" s="257"/>
      <c r="AD204" s="257"/>
      <c r="AE204" s="257"/>
      <c r="AF204" s="257"/>
      <c r="AG204" s="257"/>
      <c r="AH204" s="257"/>
      <c r="AI204" s="257"/>
      <c r="AJ204" s="257"/>
      <c r="AK204" s="257"/>
      <c r="AL204" s="257"/>
      <c r="AM204" s="257"/>
      <c r="AN204" s="257"/>
      <c r="AO204" s="257"/>
      <c r="AP204" s="257"/>
    </row>
    <row r="205" spans="1:42" s="18" customFormat="1" ht="27.75" customHeight="1">
      <c r="A205" s="260" t="s">
        <v>312</v>
      </c>
      <c r="B205" s="261"/>
      <c r="C205" s="261"/>
      <c r="D205" s="261"/>
      <c r="E205" s="262" t="s">
        <v>313</v>
      </c>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row>
    <row r="206" spans="1:42" s="18" customFormat="1" ht="9.75" customHeight="1">
      <c r="A206" s="60"/>
      <c r="B206" s="60"/>
      <c r="C206" s="60"/>
      <c r="D206" s="60"/>
      <c r="E206" s="61"/>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row>
    <row r="207" spans="1:42" s="18" customFormat="1" ht="13.5">
      <c r="A207" s="270" t="s">
        <v>314</v>
      </c>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c r="AB207" s="271"/>
      <c r="AC207" s="271"/>
      <c r="AD207" s="271"/>
      <c r="AE207" s="271"/>
      <c r="AF207" s="271"/>
      <c r="AG207" s="271"/>
      <c r="AH207" s="271"/>
      <c r="AI207" s="271"/>
      <c r="AJ207" s="271"/>
      <c r="AK207" s="271"/>
      <c r="AL207" s="271"/>
      <c r="AM207" s="271"/>
      <c r="AN207" s="271"/>
      <c r="AO207" s="271"/>
      <c r="AP207" s="272"/>
    </row>
    <row r="208" spans="1:42" s="14" customFormat="1" ht="33" customHeight="1">
      <c r="A208" s="322" t="s">
        <v>527</v>
      </c>
      <c r="B208" s="322"/>
      <c r="C208" s="322"/>
      <c r="D208" s="323" t="s">
        <v>315</v>
      </c>
      <c r="E208" s="323"/>
      <c r="F208" s="323"/>
      <c r="G208" s="323"/>
      <c r="H208" s="323"/>
      <c r="I208" s="323"/>
      <c r="J208" s="323"/>
      <c r="K208" s="323"/>
      <c r="L208" s="323"/>
      <c r="M208" s="323"/>
      <c r="N208" s="323"/>
      <c r="O208" s="323"/>
      <c r="P208" s="323"/>
      <c r="Q208" s="323"/>
      <c r="R208" s="323"/>
      <c r="S208" s="323"/>
      <c r="T208" s="323"/>
      <c r="U208" s="323"/>
      <c r="V208" s="323"/>
      <c r="W208" s="323"/>
      <c r="X208" s="323"/>
      <c r="Y208" s="323"/>
      <c r="Z208" s="323"/>
      <c r="AA208" s="323"/>
      <c r="AB208" s="323"/>
      <c r="AC208" s="323"/>
      <c r="AD208" s="323"/>
      <c r="AE208" s="323"/>
      <c r="AF208" s="323"/>
      <c r="AG208" s="323"/>
      <c r="AH208" s="323"/>
      <c r="AI208" s="323"/>
      <c r="AJ208" s="323"/>
      <c r="AK208" s="323"/>
      <c r="AL208" s="323"/>
      <c r="AM208" s="323"/>
      <c r="AN208" s="323"/>
      <c r="AO208" s="323"/>
      <c r="AP208" s="323"/>
    </row>
    <row r="209" spans="1:42" s="14" customFormat="1" ht="129.75" customHeight="1">
      <c r="A209" s="249" t="s">
        <v>316</v>
      </c>
      <c r="B209" s="249"/>
      <c r="C209" s="249"/>
      <c r="D209" s="251" t="s">
        <v>494</v>
      </c>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c r="AA209" s="251"/>
      <c r="AB209" s="251"/>
      <c r="AC209" s="251"/>
      <c r="AD209" s="251"/>
      <c r="AE209" s="251"/>
      <c r="AF209" s="251"/>
      <c r="AG209" s="251"/>
      <c r="AH209" s="251"/>
      <c r="AI209" s="251"/>
      <c r="AJ209" s="251"/>
      <c r="AK209" s="251"/>
      <c r="AL209" s="251"/>
      <c r="AM209" s="251"/>
      <c r="AN209" s="251"/>
      <c r="AO209" s="251"/>
      <c r="AP209" s="251"/>
    </row>
    <row r="210" spans="1:42" s="14" customFormat="1" ht="37.5" customHeight="1">
      <c r="A210" s="249" t="s">
        <v>317</v>
      </c>
      <c r="B210" s="249"/>
      <c r="C210" s="249"/>
      <c r="D210" s="251" t="s">
        <v>318</v>
      </c>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251"/>
      <c r="AH210" s="251"/>
      <c r="AI210" s="251"/>
      <c r="AJ210" s="251"/>
      <c r="AK210" s="251"/>
      <c r="AL210" s="251"/>
      <c r="AM210" s="251"/>
      <c r="AN210" s="251"/>
      <c r="AO210" s="251"/>
      <c r="AP210" s="251"/>
    </row>
    <row r="211" spans="1:42" s="14" customFormat="1" ht="242.25" customHeight="1">
      <c r="A211" s="249" t="s">
        <v>319</v>
      </c>
      <c r="B211" s="249"/>
      <c r="C211" s="249"/>
      <c r="D211" s="250" t="s">
        <v>495</v>
      </c>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row>
    <row r="212" spans="1:42" s="14" customFormat="1" ht="89.25" customHeight="1">
      <c r="A212" s="249" t="s">
        <v>320</v>
      </c>
      <c r="B212" s="249"/>
      <c r="C212" s="249"/>
      <c r="D212" s="251" t="s">
        <v>496</v>
      </c>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251"/>
      <c r="AH212" s="251"/>
      <c r="AI212" s="251"/>
      <c r="AJ212" s="251"/>
      <c r="AK212" s="251"/>
      <c r="AL212" s="251"/>
      <c r="AM212" s="251"/>
      <c r="AN212" s="251"/>
      <c r="AO212" s="251"/>
      <c r="AP212" s="251"/>
    </row>
    <row r="213" spans="1:42" s="14" customFormat="1" ht="234" customHeight="1">
      <c r="A213" s="249" t="s">
        <v>321</v>
      </c>
      <c r="B213" s="249"/>
      <c r="C213" s="249"/>
      <c r="D213" s="251" t="s">
        <v>497</v>
      </c>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251"/>
      <c r="AH213" s="251"/>
      <c r="AI213" s="251"/>
      <c r="AJ213" s="251"/>
      <c r="AK213" s="251"/>
      <c r="AL213" s="251"/>
      <c r="AM213" s="251"/>
      <c r="AN213" s="251"/>
      <c r="AO213" s="251"/>
      <c r="AP213" s="251"/>
    </row>
    <row r="214" spans="1:42" s="14" customFormat="1" ht="42" customHeight="1" thickBot="1">
      <c r="A214" s="280" t="s">
        <v>322</v>
      </c>
      <c r="B214" s="280"/>
      <c r="C214" s="280"/>
      <c r="D214" s="281" t="s">
        <v>493</v>
      </c>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row>
    <row r="215" spans="1:42" s="15" customFormat="1" ht="13.5">
      <c r="A215" s="243" t="s">
        <v>323</v>
      </c>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c r="AA215" s="244"/>
      <c r="AB215" s="244"/>
      <c r="AC215" s="244"/>
      <c r="AD215" s="244"/>
      <c r="AE215" s="244"/>
      <c r="AF215" s="244"/>
      <c r="AG215" s="244"/>
      <c r="AH215" s="244"/>
      <c r="AI215" s="244"/>
      <c r="AJ215" s="244"/>
      <c r="AK215" s="244"/>
      <c r="AL215" s="244"/>
      <c r="AM215" s="244"/>
      <c r="AN215" s="244"/>
      <c r="AO215" s="244"/>
      <c r="AP215" s="245"/>
    </row>
    <row r="216" spans="1:42" s="18" customFormat="1" ht="57.75" customHeight="1">
      <c r="A216" s="246" t="s">
        <v>498</v>
      </c>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c r="AC216" s="247"/>
      <c r="AD216" s="247"/>
      <c r="AE216" s="247"/>
      <c r="AF216" s="247"/>
      <c r="AG216" s="247"/>
      <c r="AH216" s="247"/>
      <c r="AI216" s="247"/>
      <c r="AJ216" s="247"/>
      <c r="AK216" s="247"/>
      <c r="AL216" s="247"/>
      <c r="AM216" s="247"/>
      <c r="AN216" s="247"/>
      <c r="AO216" s="247"/>
      <c r="AP216" s="248"/>
    </row>
    <row r="217" spans="1:42" s="18" customFormat="1" ht="14.2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row>
    <row r="218" spans="1:42" ht="15" customHeight="1" thickBot="1">
      <c r="A218" s="820" t="s">
        <v>324</v>
      </c>
      <c r="B218" s="820"/>
      <c r="C218" s="820"/>
      <c r="D218" s="820"/>
      <c r="E218" s="820"/>
      <c r="F218" s="820"/>
      <c r="G218" s="820"/>
      <c r="H218" s="820"/>
      <c r="I218" s="820"/>
      <c r="J218" s="820"/>
      <c r="K218" s="820"/>
      <c r="L218" s="820"/>
      <c r="M218" s="820"/>
      <c r="N218" s="820"/>
      <c r="O218" s="820"/>
      <c r="P218" s="820"/>
      <c r="Q218" s="820"/>
      <c r="R218" s="820"/>
      <c r="S218" s="820"/>
      <c r="T218" s="820"/>
      <c r="U218" s="820"/>
      <c r="V218" s="820"/>
      <c r="W218" s="820"/>
      <c r="X218" s="820"/>
      <c r="Y218" s="820"/>
      <c r="Z218" s="820"/>
      <c r="AA218" s="820"/>
      <c r="AB218" s="820"/>
      <c r="AC218" s="820"/>
      <c r="AD218" s="820"/>
      <c r="AE218" s="820"/>
      <c r="AF218" s="820"/>
      <c r="AG218" s="820"/>
      <c r="AH218" s="820"/>
      <c r="AI218" s="820"/>
      <c r="AJ218" s="820"/>
      <c r="AK218" s="820"/>
      <c r="AL218" s="820"/>
      <c r="AM218" s="820"/>
      <c r="AN218" s="820"/>
      <c r="AO218" s="820"/>
      <c r="AP218" s="820"/>
    </row>
    <row r="219" spans="1:42" s="15" customFormat="1" ht="21" customHeight="1">
      <c r="A219" s="273" t="s">
        <v>325</v>
      </c>
      <c r="B219" s="273"/>
      <c r="C219" s="273"/>
      <c r="D219" s="273"/>
      <c r="E219" s="273"/>
      <c r="F219" s="273"/>
      <c r="G219" s="273"/>
      <c r="H219" s="273"/>
      <c r="I219" s="273"/>
      <c r="J219" s="273"/>
      <c r="K219" s="273"/>
      <c r="L219" s="273"/>
      <c r="M219" s="273"/>
      <c r="N219" s="273"/>
      <c r="O219" s="273"/>
      <c r="P219" s="273"/>
      <c r="Q219" s="273"/>
      <c r="R219" s="273"/>
      <c r="S219" s="273"/>
      <c r="T219" s="273"/>
      <c r="U219" s="273"/>
      <c r="V219" s="273"/>
      <c r="W219" s="273"/>
      <c r="X219" s="273"/>
      <c r="Y219" s="273"/>
      <c r="Z219" s="273"/>
      <c r="AA219" s="273"/>
      <c r="AB219" s="273"/>
      <c r="AC219" s="273"/>
      <c r="AD219" s="273"/>
      <c r="AE219" s="273"/>
      <c r="AF219" s="273"/>
      <c r="AG219" s="273"/>
      <c r="AH219" s="273"/>
      <c r="AI219" s="273"/>
      <c r="AJ219" s="273"/>
      <c r="AK219" s="273"/>
      <c r="AL219" s="273"/>
      <c r="AM219" s="273"/>
      <c r="AN219" s="273"/>
      <c r="AO219" s="273"/>
      <c r="AP219" s="273"/>
    </row>
    <row r="220" spans="1:42" s="14" customFormat="1" ht="9" customHeight="1">
      <c r="A220" s="789"/>
      <c r="B220" s="789"/>
      <c r="C220" s="789"/>
      <c r="D220" s="789"/>
      <c r="E220" s="789"/>
      <c r="F220" s="789"/>
      <c r="G220" s="789"/>
      <c r="H220" s="789"/>
      <c r="I220" s="789"/>
      <c r="J220" s="789"/>
      <c r="K220" s="789"/>
      <c r="L220" s="789"/>
      <c r="M220" s="789"/>
      <c r="N220" s="789"/>
      <c r="O220" s="789"/>
      <c r="P220" s="789"/>
      <c r="Q220" s="789"/>
      <c r="R220" s="789"/>
      <c r="S220" s="789"/>
      <c r="T220" s="789"/>
      <c r="U220" s="789"/>
      <c r="V220" s="789"/>
      <c r="W220" s="789"/>
      <c r="X220" s="789"/>
      <c r="Y220" s="789"/>
      <c r="Z220" s="789"/>
      <c r="AA220" s="789"/>
      <c r="AB220" s="789"/>
      <c r="AC220" s="789"/>
      <c r="AD220" s="789"/>
      <c r="AE220" s="789"/>
      <c r="AF220" s="789"/>
      <c r="AG220" s="789"/>
      <c r="AH220" s="789"/>
      <c r="AI220" s="789"/>
      <c r="AJ220" s="789"/>
      <c r="AK220" s="789"/>
      <c r="AL220" s="789"/>
      <c r="AM220" s="789"/>
      <c r="AN220" s="789"/>
      <c r="AO220" s="789"/>
      <c r="AP220" s="789"/>
    </row>
    <row r="221" spans="1:42" s="14" customFormat="1" ht="20.25" customHeight="1">
      <c r="A221" s="274" t="s">
        <v>326</v>
      </c>
      <c r="B221" s="274"/>
      <c r="C221" s="274"/>
      <c r="D221" s="274"/>
      <c r="E221" s="274"/>
      <c r="F221" s="274" t="s">
        <v>327</v>
      </c>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c r="AD221" s="274"/>
      <c r="AE221" s="274"/>
      <c r="AF221" s="274"/>
      <c r="AG221" s="274"/>
      <c r="AH221" s="274"/>
      <c r="AI221" s="274"/>
      <c r="AJ221" s="274"/>
      <c r="AK221" s="274"/>
      <c r="AL221" s="274"/>
      <c r="AM221" s="274"/>
      <c r="AN221" s="274"/>
      <c r="AO221" s="274"/>
      <c r="AP221" s="274"/>
    </row>
    <row r="222" spans="1:42" s="14" customFormat="1" ht="27.95" customHeight="1">
      <c r="A222" s="242" t="s">
        <v>499</v>
      </c>
      <c r="B222" s="242"/>
      <c r="C222" s="242"/>
      <c r="D222" s="242"/>
      <c r="E222" s="242"/>
      <c r="F222" s="241" t="s">
        <v>512</v>
      </c>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c r="AC222" s="241"/>
      <c r="AD222" s="241"/>
      <c r="AE222" s="241"/>
      <c r="AF222" s="241"/>
      <c r="AG222" s="241"/>
      <c r="AH222" s="241"/>
      <c r="AI222" s="241"/>
      <c r="AJ222" s="241"/>
      <c r="AK222" s="241"/>
      <c r="AL222" s="241"/>
      <c r="AM222" s="241"/>
      <c r="AN222" s="241"/>
      <c r="AO222" s="241"/>
      <c r="AP222" s="241"/>
    </row>
    <row r="223" spans="1:42" s="14" customFormat="1" ht="27.95" customHeight="1">
      <c r="A223" s="242" t="s">
        <v>328</v>
      </c>
      <c r="B223" s="242"/>
      <c r="C223" s="242"/>
      <c r="D223" s="242"/>
      <c r="E223" s="242"/>
      <c r="F223" s="241" t="s">
        <v>500</v>
      </c>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c r="AC223" s="241"/>
      <c r="AD223" s="241"/>
      <c r="AE223" s="241"/>
      <c r="AF223" s="241"/>
      <c r="AG223" s="241"/>
      <c r="AH223" s="241"/>
      <c r="AI223" s="241"/>
      <c r="AJ223" s="241"/>
      <c r="AK223" s="241"/>
      <c r="AL223" s="241"/>
      <c r="AM223" s="241"/>
      <c r="AN223" s="241"/>
      <c r="AO223" s="241"/>
      <c r="AP223" s="241"/>
    </row>
    <row r="224" spans="1:42" s="14" customFormat="1" ht="27.95" customHeight="1">
      <c r="A224" s="242" t="s">
        <v>329</v>
      </c>
      <c r="B224" s="242"/>
      <c r="C224" s="242"/>
      <c r="D224" s="242"/>
      <c r="E224" s="242"/>
      <c r="F224" s="241" t="s">
        <v>501</v>
      </c>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c r="AC224" s="241"/>
      <c r="AD224" s="241"/>
      <c r="AE224" s="241"/>
      <c r="AF224" s="241"/>
      <c r="AG224" s="241"/>
      <c r="AH224" s="241"/>
      <c r="AI224" s="241"/>
      <c r="AJ224" s="241"/>
      <c r="AK224" s="241"/>
      <c r="AL224" s="241"/>
      <c r="AM224" s="241"/>
      <c r="AN224" s="241"/>
      <c r="AO224" s="241"/>
      <c r="AP224" s="241"/>
    </row>
    <row r="225" spans="1:42" s="14" customFormat="1" ht="25.5" customHeight="1">
      <c r="A225" s="242" t="s">
        <v>330</v>
      </c>
      <c r="B225" s="242"/>
      <c r="C225" s="242"/>
      <c r="D225" s="242"/>
      <c r="E225" s="242"/>
      <c r="F225" s="241" t="s">
        <v>502</v>
      </c>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c r="AC225" s="241"/>
      <c r="AD225" s="241"/>
      <c r="AE225" s="241"/>
      <c r="AF225" s="241"/>
      <c r="AG225" s="241"/>
      <c r="AH225" s="241"/>
      <c r="AI225" s="241"/>
      <c r="AJ225" s="241"/>
      <c r="AK225" s="241"/>
      <c r="AL225" s="241"/>
      <c r="AM225" s="241"/>
      <c r="AN225" s="241"/>
      <c r="AO225" s="241"/>
      <c r="AP225" s="241"/>
    </row>
    <row r="226" spans="1:42" s="14" customFormat="1" ht="25.5" customHeight="1">
      <c r="A226" s="242" t="s">
        <v>331</v>
      </c>
      <c r="B226" s="242"/>
      <c r="C226" s="242"/>
      <c r="D226" s="242"/>
      <c r="E226" s="242"/>
      <c r="F226" s="241" t="s">
        <v>503</v>
      </c>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c r="AC226" s="241"/>
      <c r="AD226" s="241"/>
      <c r="AE226" s="241"/>
      <c r="AF226" s="241"/>
      <c r="AG226" s="241"/>
      <c r="AH226" s="241"/>
      <c r="AI226" s="241"/>
      <c r="AJ226" s="241"/>
      <c r="AK226" s="241"/>
      <c r="AL226" s="241"/>
      <c r="AM226" s="241"/>
      <c r="AN226" s="241"/>
      <c r="AO226" s="241"/>
      <c r="AP226" s="241"/>
    </row>
    <row r="227" spans="1:42" s="14" customFormat="1" ht="31.5" customHeight="1">
      <c r="A227" s="242" t="s">
        <v>332</v>
      </c>
      <c r="B227" s="242"/>
      <c r="C227" s="242"/>
      <c r="D227" s="242"/>
      <c r="E227" s="242"/>
      <c r="F227" s="241" t="s">
        <v>504</v>
      </c>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c r="AC227" s="241"/>
      <c r="AD227" s="241"/>
      <c r="AE227" s="241"/>
      <c r="AF227" s="241"/>
      <c r="AG227" s="241"/>
      <c r="AH227" s="241"/>
      <c r="AI227" s="241"/>
      <c r="AJ227" s="241"/>
      <c r="AK227" s="241"/>
      <c r="AL227" s="241"/>
      <c r="AM227" s="241"/>
      <c r="AN227" s="241"/>
      <c r="AO227" s="241"/>
      <c r="AP227" s="241"/>
    </row>
    <row r="228" spans="1:42" s="14" customFormat="1" ht="23.25" customHeight="1">
      <c r="A228" s="242" t="s">
        <v>333</v>
      </c>
      <c r="B228" s="242"/>
      <c r="C228" s="242"/>
      <c r="D228" s="242"/>
      <c r="E228" s="242"/>
      <c r="F228" s="241" t="s">
        <v>505</v>
      </c>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241"/>
      <c r="AH228" s="241"/>
      <c r="AI228" s="241"/>
      <c r="AJ228" s="241"/>
      <c r="AK228" s="241"/>
      <c r="AL228" s="241"/>
      <c r="AM228" s="241"/>
      <c r="AN228" s="241"/>
      <c r="AO228" s="241"/>
      <c r="AP228" s="241"/>
    </row>
    <row r="229" spans="1:42" s="14" customFormat="1" ht="27.95" customHeight="1">
      <c r="A229" s="242" t="s">
        <v>334</v>
      </c>
      <c r="B229" s="242"/>
      <c r="C229" s="242"/>
      <c r="D229" s="242"/>
      <c r="E229" s="242"/>
      <c r="F229" s="241" t="s">
        <v>506</v>
      </c>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c r="AC229" s="241"/>
      <c r="AD229" s="241"/>
      <c r="AE229" s="241"/>
      <c r="AF229" s="241"/>
      <c r="AG229" s="241"/>
      <c r="AH229" s="241"/>
      <c r="AI229" s="241"/>
      <c r="AJ229" s="241"/>
      <c r="AK229" s="241"/>
      <c r="AL229" s="241"/>
      <c r="AM229" s="241"/>
      <c r="AN229" s="241"/>
      <c r="AO229" s="241"/>
      <c r="AP229" s="241"/>
    </row>
    <row r="230" spans="1:42" s="14" customFormat="1" ht="27.95" customHeight="1">
      <c r="A230" s="242" t="s">
        <v>335</v>
      </c>
      <c r="B230" s="242"/>
      <c r="C230" s="242"/>
      <c r="D230" s="242"/>
      <c r="E230" s="242"/>
      <c r="F230" s="241" t="s">
        <v>507</v>
      </c>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c r="AC230" s="241"/>
      <c r="AD230" s="241"/>
      <c r="AE230" s="241"/>
      <c r="AF230" s="241"/>
      <c r="AG230" s="241"/>
      <c r="AH230" s="241"/>
      <c r="AI230" s="241"/>
      <c r="AJ230" s="241"/>
      <c r="AK230" s="241"/>
      <c r="AL230" s="241"/>
      <c r="AM230" s="241"/>
      <c r="AN230" s="241"/>
      <c r="AO230" s="241"/>
      <c r="AP230" s="241"/>
    </row>
    <row r="231" spans="1:42" s="14" customFormat="1" ht="38.25" customHeight="1">
      <c r="A231" s="253" t="s">
        <v>336</v>
      </c>
      <c r="B231" s="253"/>
      <c r="C231" s="253"/>
      <c r="D231" s="253"/>
      <c r="E231" s="253"/>
      <c r="F231" s="254" t="s">
        <v>508</v>
      </c>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row>
    <row r="232" spans="1:42" ht="23.25" customHeight="1">
      <c r="A232" s="242" t="s">
        <v>337</v>
      </c>
      <c r="B232" s="242"/>
      <c r="C232" s="242"/>
      <c r="D232" s="242"/>
      <c r="E232" s="242"/>
      <c r="F232" s="241" t="s">
        <v>509</v>
      </c>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241"/>
      <c r="AG232" s="241"/>
      <c r="AH232" s="241"/>
      <c r="AI232" s="241"/>
      <c r="AJ232" s="241"/>
      <c r="AK232" s="241"/>
      <c r="AL232" s="241"/>
      <c r="AM232" s="241"/>
      <c r="AN232" s="241"/>
      <c r="AO232" s="241"/>
      <c r="AP232" s="241"/>
    </row>
    <row r="233" spans="1:42" ht="23.25" customHeight="1">
      <c r="A233" s="242" t="s">
        <v>338</v>
      </c>
      <c r="B233" s="242"/>
      <c r="C233" s="242"/>
      <c r="D233" s="242"/>
      <c r="E233" s="242"/>
      <c r="F233" s="241" t="s">
        <v>510</v>
      </c>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241"/>
      <c r="AG233" s="241"/>
      <c r="AH233" s="241"/>
      <c r="AI233" s="241"/>
      <c r="AJ233" s="241"/>
      <c r="AK233" s="241"/>
      <c r="AL233" s="241"/>
      <c r="AM233" s="241"/>
      <c r="AN233" s="241"/>
      <c r="AO233" s="241"/>
      <c r="AP233" s="241"/>
    </row>
    <row r="234" spans="1:42" ht="23.25" customHeight="1">
      <c r="A234" s="242" t="s">
        <v>339</v>
      </c>
      <c r="B234" s="242"/>
      <c r="C234" s="242" t="s">
        <v>93</v>
      </c>
      <c r="D234" s="242"/>
      <c r="E234" s="242"/>
      <c r="F234" s="241" t="s">
        <v>511</v>
      </c>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241"/>
      <c r="AG234" s="241"/>
      <c r="AH234" s="241"/>
      <c r="AI234" s="241"/>
      <c r="AJ234" s="241"/>
      <c r="AK234" s="241"/>
      <c r="AL234" s="241"/>
      <c r="AM234" s="241"/>
      <c r="AN234" s="241"/>
      <c r="AO234" s="241"/>
      <c r="AP234" s="241"/>
    </row>
    <row r="235" spans="1:42" ht="102" customHeight="1">
      <c r="A235" s="242"/>
      <c r="B235" s="242"/>
      <c r="C235" s="242" t="s">
        <v>33</v>
      </c>
      <c r="D235" s="242"/>
      <c r="E235" s="242"/>
      <c r="F235" s="252" t="s">
        <v>340</v>
      </c>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2"/>
      <c r="AO235" s="252"/>
      <c r="AP235" s="252"/>
    </row>
    <row r="236" spans="1:42" ht="94.5" customHeight="1">
      <c r="A236" s="242"/>
      <c r="B236" s="242"/>
      <c r="C236" s="242" t="s">
        <v>341</v>
      </c>
      <c r="D236" s="242"/>
      <c r="E236" s="242"/>
      <c r="F236" s="241" t="s">
        <v>513</v>
      </c>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241"/>
      <c r="AH236" s="241"/>
      <c r="AI236" s="241"/>
      <c r="AJ236" s="241"/>
      <c r="AK236" s="241"/>
      <c r="AL236" s="241"/>
      <c r="AM236" s="241"/>
      <c r="AN236" s="241"/>
      <c r="AO236" s="241"/>
      <c r="AP236" s="241"/>
    </row>
    <row r="237" spans="1:42" ht="24" customHeight="1">
      <c r="A237" s="242"/>
      <c r="B237" s="242"/>
      <c r="C237" s="242" t="s">
        <v>233</v>
      </c>
      <c r="D237" s="242"/>
      <c r="E237" s="242"/>
      <c r="F237" s="241" t="s">
        <v>342</v>
      </c>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c r="AC237" s="241"/>
      <c r="AD237" s="241"/>
      <c r="AE237" s="241"/>
      <c r="AF237" s="241"/>
      <c r="AG237" s="241"/>
      <c r="AH237" s="241"/>
      <c r="AI237" s="241"/>
      <c r="AJ237" s="241"/>
      <c r="AK237" s="241"/>
      <c r="AL237" s="241"/>
      <c r="AM237" s="241"/>
      <c r="AN237" s="241"/>
      <c r="AO237" s="241"/>
      <c r="AP237" s="241"/>
    </row>
    <row r="238" spans="1:42" ht="26.25" customHeight="1" thickBot="1">
      <c r="A238" s="236" t="s">
        <v>343</v>
      </c>
      <c r="B238" s="236"/>
      <c r="C238" s="236"/>
      <c r="D238" s="236"/>
      <c r="E238" s="236"/>
      <c r="F238" s="237" t="s">
        <v>344</v>
      </c>
      <c r="G238" s="237"/>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c r="AN238" s="237"/>
      <c r="AO238" s="237"/>
      <c r="AP238" s="237"/>
    </row>
    <row r="239" spans="1:42" s="15" customFormat="1" ht="13.5">
      <c r="A239" s="238" t="s">
        <v>345</v>
      </c>
      <c r="B239" s="239"/>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239"/>
      <c r="AO239" s="239"/>
      <c r="AP239" s="240"/>
    </row>
    <row r="240" spans="1:42" ht="89.25" customHeight="1">
      <c r="A240" s="223" t="s">
        <v>346</v>
      </c>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24"/>
      <c r="AO240" s="224"/>
      <c r="AP240" s="225"/>
    </row>
    <row r="241" spans="1:42" ht="25.5" customHeight="1">
      <c r="A241" s="821"/>
      <c r="B241" s="821"/>
      <c r="C241" s="821"/>
      <c r="D241" s="821"/>
      <c r="E241" s="821"/>
      <c r="F241" s="821"/>
      <c r="G241" s="821"/>
      <c r="H241" s="821"/>
      <c r="I241" s="821"/>
      <c r="J241" s="821"/>
      <c r="K241" s="821"/>
      <c r="L241" s="821"/>
      <c r="M241" s="821"/>
      <c r="N241" s="821"/>
      <c r="O241" s="821"/>
      <c r="P241" s="821"/>
      <c r="Q241" s="821"/>
      <c r="R241" s="821"/>
      <c r="S241" s="821"/>
      <c r="T241" s="821"/>
      <c r="U241" s="821"/>
      <c r="V241" s="821"/>
      <c r="W241" s="821"/>
      <c r="X241" s="821"/>
      <c r="Y241" s="821"/>
      <c r="Z241" s="821"/>
      <c r="AA241" s="821"/>
      <c r="AB241" s="821"/>
      <c r="AC241" s="821"/>
      <c r="AD241" s="821"/>
      <c r="AE241" s="821"/>
      <c r="AF241" s="821"/>
      <c r="AG241" s="821"/>
      <c r="AH241" s="821"/>
      <c r="AI241" s="821"/>
      <c r="AJ241" s="821"/>
      <c r="AK241" s="821"/>
      <c r="AL241" s="821"/>
      <c r="AM241" s="821"/>
      <c r="AN241" s="821"/>
      <c r="AO241" s="821"/>
      <c r="AP241" s="821"/>
    </row>
    <row r="242" spans="1:42">
      <c r="A242" s="786"/>
      <c r="B242" s="786"/>
      <c r="C242" s="786"/>
      <c r="D242" s="786"/>
      <c r="E242" s="786"/>
      <c r="F242" s="786"/>
      <c r="G242" s="786"/>
      <c r="H242" s="786"/>
      <c r="I242" s="786"/>
      <c r="J242" s="786"/>
      <c r="K242" s="786"/>
      <c r="L242" s="786"/>
      <c r="M242" s="786"/>
      <c r="N242" s="786"/>
      <c r="O242" s="786"/>
      <c r="P242" s="786"/>
      <c r="Q242" s="786"/>
      <c r="R242" s="786"/>
      <c r="S242" s="786"/>
      <c r="T242" s="786"/>
      <c r="U242" s="786"/>
      <c r="V242" s="786"/>
      <c r="W242" s="786"/>
      <c r="X242" s="786"/>
      <c r="Y242" s="786"/>
      <c r="Z242" s="786"/>
      <c r="AA242" s="786"/>
      <c r="AB242" s="786"/>
      <c r="AC242" s="786"/>
      <c r="AD242" s="786"/>
      <c r="AE242" s="786"/>
      <c r="AF242" s="786"/>
      <c r="AG242" s="786"/>
      <c r="AH242" s="786"/>
      <c r="AI242" s="786"/>
      <c r="AJ242" s="786"/>
      <c r="AK242" s="786"/>
      <c r="AL242" s="786"/>
      <c r="AM242" s="786"/>
      <c r="AN242" s="786"/>
      <c r="AO242" s="786"/>
      <c r="AP242" s="786"/>
    </row>
    <row r="243" spans="1:42" ht="15" customHeight="1">
      <c r="A243" s="823" t="s">
        <v>347</v>
      </c>
      <c r="B243" s="823"/>
      <c r="C243" s="823"/>
      <c r="D243" s="823"/>
      <c r="E243" s="823"/>
      <c r="F243" s="823"/>
      <c r="G243" s="823"/>
      <c r="H243" s="823"/>
      <c r="I243" s="823"/>
      <c r="J243" s="823"/>
      <c r="K243" s="823"/>
      <c r="L243" s="823"/>
      <c r="M243" s="823"/>
      <c r="N243" s="823"/>
      <c r="O243" s="823"/>
      <c r="P243" s="823"/>
      <c r="Q243" s="823"/>
      <c r="R243" s="823"/>
      <c r="S243" s="823"/>
      <c r="T243" s="823"/>
      <c r="U243" s="823"/>
      <c r="V243" s="823"/>
      <c r="W243" s="823"/>
      <c r="X243" s="823"/>
      <c r="Y243" s="823"/>
      <c r="Z243" s="823"/>
      <c r="AA243" s="823"/>
      <c r="AB243" s="823"/>
      <c r="AC243" s="823"/>
      <c r="AD243" s="823"/>
      <c r="AE243" s="823"/>
      <c r="AF243" s="823"/>
      <c r="AG243" s="823"/>
      <c r="AH243" s="823"/>
      <c r="AI243" s="823"/>
      <c r="AJ243" s="823"/>
      <c r="AK243" s="823"/>
      <c r="AL243" s="823"/>
      <c r="AM243" s="823"/>
      <c r="AN243" s="823"/>
      <c r="AO243" s="823"/>
      <c r="AP243" s="823"/>
    </row>
    <row r="244" spans="1:42" s="18" customFormat="1" ht="24.75" customHeight="1">
      <c r="A244" s="226" t="s">
        <v>348</v>
      </c>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c r="AA244" s="227"/>
      <c r="AB244" s="227"/>
      <c r="AC244" s="227"/>
      <c r="AD244" s="227"/>
      <c r="AE244" s="227"/>
      <c r="AF244" s="227"/>
      <c r="AG244" s="227"/>
      <c r="AH244" s="227"/>
      <c r="AI244" s="227"/>
      <c r="AJ244" s="227"/>
      <c r="AK244" s="227"/>
      <c r="AL244" s="227"/>
      <c r="AM244" s="227"/>
      <c r="AN244" s="227"/>
      <c r="AO244" s="227"/>
      <c r="AP244" s="228"/>
    </row>
    <row r="245" spans="1:42" s="15" customFormat="1" ht="18" customHeight="1">
      <c r="A245" s="229" t="s">
        <v>349</v>
      </c>
      <c r="B245" s="230"/>
      <c r="C245" s="230"/>
      <c r="D245" s="230"/>
      <c r="E245" s="235" t="s">
        <v>350</v>
      </c>
      <c r="F245" s="235"/>
      <c r="G245" s="235"/>
      <c r="H245" s="235"/>
      <c r="I245" s="235"/>
      <c r="J245" s="235"/>
      <c r="K245" s="211">
        <v>0</v>
      </c>
      <c r="L245" s="211"/>
      <c r="M245" s="211"/>
      <c r="N245" s="211"/>
      <c r="O245" s="211"/>
      <c r="P245" s="211"/>
      <c r="Q245" s="211"/>
      <c r="R245" s="211"/>
      <c r="S245" s="211"/>
      <c r="T245" s="211"/>
      <c r="U245" s="211"/>
      <c r="V245" s="211"/>
      <c r="W245" s="211"/>
      <c r="X245" s="235" t="s">
        <v>351</v>
      </c>
      <c r="Y245" s="235"/>
      <c r="Z245" s="235"/>
      <c r="AA245" s="235"/>
      <c r="AB245" s="235"/>
      <c r="AC245" s="235"/>
      <c r="AD245" s="235"/>
      <c r="AE245" s="235"/>
      <c r="AF245" s="211" t="s">
        <v>530</v>
      </c>
      <c r="AG245" s="211"/>
      <c r="AH245" s="211"/>
      <c r="AI245" s="211"/>
      <c r="AJ245" s="211"/>
      <c r="AK245" s="211"/>
      <c r="AL245" s="211"/>
      <c r="AM245" s="211"/>
      <c r="AN245" s="211"/>
      <c r="AO245" s="211"/>
      <c r="AP245" s="212"/>
    </row>
    <row r="246" spans="1:42" s="15" customFormat="1" ht="18" customHeight="1">
      <c r="A246" s="231"/>
      <c r="B246" s="232"/>
      <c r="C246" s="232"/>
      <c r="D246" s="232"/>
      <c r="E246" s="220" t="s">
        <v>352</v>
      </c>
      <c r="F246" s="220"/>
      <c r="G246" s="220"/>
      <c r="H246" s="220"/>
      <c r="I246" s="220"/>
      <c r="J246" s="220"/>
      <c r="K246" s="206">
        <v>0</v>
      </c>
      <c r="L246" s="206"/>
      <c r="M246" s="206"/>
      <c r="N246" s="206"/>
      <c r="O246" s="206"/>
      <c r="P246" s="206"/>
      <c r="Q246" s="206"/>
      <c r="R246" s="206"/>
      <c r="S246" s="206"/>
      <c r="T246" s="206"/>
      <c r="U246" s="206"/>
      <c r="V246" s="206"/>
      <c r="W246" s="206"/>
      <c r="X246" s="220" t="s">
        <v>353</v>
      </c>
      <c r="Y246" s="220"/>
      <c r="Z246" s="220"/>
      <c r="AA246" s="220"/>
      <c r="AB246" s="220"/>
      <c r="AC246" s="220"/>
      <c r="AD246" s="220"/>
      <c r="AE246" s="220"/>
      <c r="AF246" s="206" t="s">
        <v>5</v>
      </c>
      <c r="AG246" s="206"/>
      <c r="AH246" s="206"/>
      <c r="AI246" s="206"/>
      <c r="AJ246" s="206"/>
      <c r="AK246" s="206"/>
      <c r="AL246" s="206"/>
      <c r="AM246" s="206"/>
      <c r="AN246" s="206"/>
      <c r="AO246" s="206"/>
      <c r="AP246" s="207"/>
    </row>
    <row r="247" spans="1:42" s="15" customFormat="1" ht="18" customHeight="1">
      <c r="A247" s="231"/>
      <c r="B247" s="232"/>
      <c r="C247" s="232"/>
      <c r="D247" s="232"/>
      <c r="E247" s="220" t="s">
        <v>354</v>
      </c>
      <c r="F247" s="220"/>
      <c r="G247" s="220"/>
      <c r="H247" s="220"/>
      <c r="I247" s="220"/>
      <c r="J247" s="220"/>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221" t="s">
        <v>355</v>
      </c>
      <c r="AG247" s="221"/>
      <c r="AH247" s="221"/>
      <c r="AI247" s="221"/>
      <c r="AJ247" s="221"/>
      <c r="AK247" s="221"/>
      <c r="AL247" s="221"/>
      <c r="AM247" s="221"/>
      <c r="AN247" s="221"/>
      <c r="AO247" s="221"/>
      <c r="AP247" s="222"/>
    </row>
    <row r="248" spans="1:42" s="15" customFormat="1" ht="18" customHeight="1">
      <c r="A248" s="233"/>
      <c r="B248" s="234"/>
      <c r="C248" s="234"/>
      <c r="D248" s="234"/>
      <c r="E248" s="217" t="s">
        <v>356</v>
      </c>
      <c r="F248" s="217"/>
      <c r="G248" s="217"/>
      <c r="H248" s="217"/>
      <c r="I248" s="217"/>
      <c r="J248" s="217"/>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218" t="s">
        <v>357</v>
      </c>
      <c r="AG248" s="218"/>
      <c r="AH248" s="218"/>
      <c r="AI248" s="218"/>
      <c r="AJ248" s="218"/>
      <c r="AK248" s="218"/>
      <c r="AL248" s="218"/>
      <c r="AM248" s="218"/>
      <c r="AN248" s="218"/>
      <c r="AO248" s="218"/>
      <c r="AP248" s="219"/>
    </row>
    <row r="249" spans="1:42" s="15" customFormat="1" ht="10.5" customHeight="1">
      <c r="A249" s="23"/>
      <c r="AP249" s="24"/>
    </row>
    <row r="250" spans="1:42" s="15" customFormat="1" ht="14.25" customHeight="1">
      <c r="A250" s="25" t="s">
        <v>358</v>
      </c>
      <c r="AP250" s="24"/>
    </row>
    <row r="251" spans="1:42" s="15" customFormat="1" ht="14.25" customHeight="1">
      <c r="A251" s="23" t="s">
        <v>359</v>
      </c>
      <c r="AP251" s="24"/>
    </row>
    <row r="252" spans="1:42" s="15" customFormat="1" ht="14.25" customHeight="1">
      <c r="A252" s="23" t="s">
        <v>360</v>
      </c>
      <c r="AP252" s="24"/>
    </row>
    <row r="253" spans="1:42" s="15" customFormat="1" ht="14.25" customHeight="1">
      <c r="A253" s="210" t="s">
        <v>361</v>
      </c>
      <c r="B253" s="211"/>
      <c r="C253" s="211"/>
      <c r="D253" s="211"/>
      <c r="E253" s="211"/>
      <c r="F253" s="211" t="s">
        <v>362</v>
      </c>
      <c r="G253" s="211"/>
      <c r="H253" s="211"/>
      <c r="I253" s="211"/>
      <c r="J253" s="211"/>
      <c r="K253" s="211"/>
      <c r="L253" s="211"/>
      <c r="M253" s="211" t="s">
        <v>363</v>
      </c>
      <c r="N253" s="211"/>
      <c r="O253" s="211"/>
      <c r="P253" s="211"/>
      <c r="Q253" s="211"/>
      <c r="R253" s="211"/>
      <c r="S253" s="211"/>
      <c r="T253" s="211"/>
      <c r="U253" s="211"/>
      <c r="V253" s="211"/>
      <c r="W253" s="211"/>
      <c r="X253" s="211" t="s">
        <v>364</v>
      </c>
      <c r="Y253" s="211"/>
      <c r="Z253" s="211"/>
      <c r="AA253" s="211"/>
      <c r="AB253" s="211"/>
      <c r="AC253" s="211"/>
      <c r="AD253" s="211"/>
      <c r="AE253" s="211"/>
      <c r="AF253" s="211"/>
      <c r="AG253" s="211" t="s">
        <v>365</v>
      </c>
      <c r="AH253" s="211"/>
      <c r="AI253" s="211"/>
      <c r="AJ253" s="211"/>
      <c r="AK253" s="211"/>
      <c r="AL253" s="211"/>
      <c r="AM253" s="211"/>
      <c r="AN253" s="211"/>
      <c r="AO253" s="211"/>
      <c r="AP253" s="212"/>
    </row>
    <row r="254" spans="1:42" s="15" customFormat="1" ht="14.25" customHeight="1">
      <c r="A254" s="191" t="s">
        <v>528</v>
      </c>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206"/>
      <c r="AH254" s="206"/>
      <c r="AI254" s="206"/>
      <c r="AJ254" s="206"/>
      <c r="AK254" s="206"/>
      <c r="AL254" s="206"/>
      <c r="AM254" s="206"/>
      <c r="AN254" s="206"/>
      <c r="AO254" s="206"/>
      <c r="AP254" s="207"/>
    </row>
    <row r="255" spans="1:42" s="15" customFormat="1" ht="14.25" customHeight="1">
      <c r="A255" s="185"/>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c r="AF255" s="186"/>
      <c r="AG255" s="208"/>
      <c r="AH255" s="208"/>
      <c r="AI255" s="208"/>
      <c r="AJ255" s="208"/>
      <c r="AK255" s="208"/>
      <c r="AL255" s="208"/>
      <c r="AM255" s="208"/>
      <c r="AN255" s="208"/>
      <c r="AO255" s="208"/>
      <c r="AP255" s="209"/>
    </row>
    <row r="256" spans="1:42" s="15" customFormat="1" ht="10.5" customHeight="1">
      <c r="A256" s="26"/>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8"/>
    </row>
    <row r="257" spans="1:42" s="15" customFormat="1" ht="14.25" customHeight="1">
      <c r="A257" s="23" t="s">
        <v>366</v>
      </c>
      <c r="AP257" s="24"/>
    </row>
    <row r="258" spans="1:42" s="15" customFormat="1" ht="14.25" customHeight="1">
      <c r="A258" s="23" t="s">
        <v>367</v>
      </c>
      <c r="AP258" s="24"/>
    </row>
    <row r="259" spans="1:42" s="15" customFormat="1" ht="14.25" customHeight="1">
      <c r="A259" s="210" t="s">
        <v>368</v>
      </c>
      <c r="B259" s="211"/>
      <c r="C259" s="211"/>
      <c r="D259" s="211"/>
      <c r="E259" s="211"/>
      <c r="F259" s="211" t="s">
        <v>362</v>
      </c>
      <c r="G259" s="211"/>
      <c r="H259" s="211"/>
      <c r="I259" s="211"/>
      <c r="J259" s="211"/>
      <c r="K259" s="211"/>
      <c r="L259" s="211"/>
      <c r="M259" s="211" t="s">
        <v>369</v>
      </c>
      <c r="N259" s="211"/>
      <c r="O259" s="211"/>
      <c r="P259" s="211"/>
      <c r="Q259" s="211"/>
      <c r="R259" s="211"/>
      <c r="S259" s="211"/>
      <c r="T259" s="211"/>
      <c r="U259" s="211"/>
      <c r="V259" s="211"/>
      <c r="W259" s="211"/>
      <c r="X259" s="211" t="s">
        <v>370</v>
      </c>
      <c r="Y259" s="211"/>
      <c r="Z259" s="211"/>
      <c r="AA259" s="211"/>
      <c r="AB259" s="211"/>
      <c r="AC259" s="211"/>
      <c r="AD259" s="211"/>
      <c r="AE259" s="211"/>
      <c r="AF259" s="211"/>
      <c r="AG259" s="211" t="s">
        <v>371</v>
      </c>
      <c r="AH259" s="211"/>
      <c r="AI259" s="211"/>
      <c r="AJ259" s="211"/>
      <c r="AK259" s="211"/>
      <c r="AL259" s="211"/>
      <c r="AM259" s="211"/>
      <c r="AN259" s="211"/>
      <c r="AO259" s="211"/>
      <c r="AP259" s="212"/>
    </row>
    <row r="260" spans="1:42" s="15" customFormat="1" ht="14.25" customHeight="1">
      <c r="A260" s="191" t="s">
        <v>529</v>
      </c>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206"/>
      <c r="AH260" s="206"/>
      <c r="AI260" s="206"/>
      <c r="AJ260" s="206"/>
      <c r="AK260" s="206"/>
      <c r="AL260" s="206"/>
      <c r="AM260" s="206"/>
      <c r="AN260" s="206"/>
      <c r="AO260" s="206"/>
      <c r="AP260" s="207"/>
    </row>
    <row r="261" spans="1:42" s="15" customFormat="1" ht="14.25" customHeight="1">
      <c r="A261" s="185"/>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c r="AF261" s="186"/>
      <c r="AG261" s="208"/>
      <c r="AH261" s="208"/>
      <c r="AI261" s="208"/>
      <c r="AJ261" s="208"/>
      <c r="AK261" s="208"/>
      <c r="AL261" s="208"/>
      <c r="AM261" s="208"/>
      <c r="AN261" s="208"/>
      <c r="AO261" s="208"/>
      <c r="AP261" s="209"/>
    </row>
    <row r="262" spans="1:42" s="15" customFormat="1" ht="10.5" customHeight="1">
      <c r="A262" s="26"/>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8"/>
    </row>
    <row r="263" spans="1:42" s="15" customFormat="1" ht="14.25" customHeight="1">
      <c r="A263" s="23" t="s">
        <v>372</v>
      </c>
      <c r="AP263" s="24"/>
    </row>
    <row r="264" spans="1:42" s="15" customFormat="1" ht="14.25" customHeight="1">
      <c r="A264" s="23" t="s">
        <v>373</v>
      </c>
      <c r="AP264" s="24"/>
    </row>
    <row r="265" spans="1:42" s="15" customFormat="1" ht="14.25" customHeight="1">
      <c r="A265" s="210" t="s">
        <v>374</v>
      </c>
      <c r="B265" s="211"/>
      <c r="C265" s="211"/>
      <c r="D265" s="211"/>
      <c r="E265" s="211"/>
      <c r="F265" s="211" t="s">
        <v>375</v>
      </c>
      <c r="G265" s="211"/>
      <c r="H265" s="211"/>
      <c r="I265" s="211"/>
      <c r="J265" s="211"/>
      <c r="K265" s="211"/>
      <c r="L265" s="211"/>
      <c r="M265" s="211" t="s">
        <v>369</v>
      </c>
      <c r="N265" s="211"/>
      <c r="O265" s="211"/>
      <c r="P265" s="211"/>
      <c r="Q265" s="211"/>
      <c r="R265" s="211"/>
      <c r="S265" s="211"/>
      <c r="T265" s="211"/>
      <c r="U265" s="211"/>
      <c r="V265" s="211"/>
      <c r="W265" s="211"/>
      <c r="X265" s="211" t="s">
        <v>364</v>
      </c>
      <c r="Y265" s="211"/>
      <c r="Z265" s="211"/>
      <c r="AA265" s="211"/>
      <c r="AB265" s="211"/>
      <c r="AC265" s="211"/>
      <c r="AD265" s="211"/>
      <c r="AE265" s="211"/>
      <c r="AF265" s="211"/>
      <c r="AG265" s="211" t="s">
        <v>376</v>
      </c>
      <c r="AH265" s="211"/>
      <c r="AI265" s="211"/>
      <c r="AJ265" s="211"/>
      <c r="AK265" s="211"/>
      <c r="AL265" s="211"/>
      <c r="AM265" s="211"/>
      <c r="AN265" s="211"/>
      <c r="AO265" s="211"/>
      <c r="AP265" s="212"/>
    </row>
    <row r="266" spans="1:42" s="15" customFormat="1" ht="14.25" customHeight="1">
      <c r="A266" s="213"/>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c r="AG266" s="215"/>
      <c r="AH266" s="215"/>
      <c r="AI266" s="215"/>
      <c r="AJ266" s="215"/>
      <c r="AK266" s="215"/>
      <c r="AL266" s="215"/>
      <c r="AM266" s="215"/>
      <c r="AN266" s="215"/>
      <c r="AO266" s="215"/>
      <c r="AP266" s="216"/>
    </row>
    <row r="267" spans="1:42" s="15" customFormat="1" ht="14.25" customHeight="1">
      <c r="A267" s="185"/>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c r="AF267" s="186"/>
      <c r="AG267" s="208"/>
      <c r="AH267" s="208"/>
      <c r="AI267" s="208"/>
      <c r="AJ267" s="208"/>
      <c r="AK267" s="208"/>
      <c r="AL267" s="208"/>
      <c r="AM267" s="208"/>
      <c r="AN267" s="208"/>
      <c r="AO267" s="208"/>
      <c r="AP267" s="209"/>
    </row>
    <row r="268" spans="1:42" s="15" customFormat="1" ht="10.5" customHeight="1">
      <c r="A268" s="26"/>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8"/>
    </row>
    <row r="269" spans="1:42" s="15" customFormat="1" ht="14.25" customHeight="1">
      <c r="A269" s="25" t="s">
        <v>377</v>
      </c>
      <c r="AP269" s="24"/>
    </row>
    <row r="270" spans="1:42" s="15" customFormat="1" ht="14.25" customHeight="1">
      <c r="A270" s="23" t="s">
        <v>378</v>
      </c>
      <c r="AP270" s="24"/>
    </row>
    <row r="271" spans="1:42" s="15" customFormat="1" ht="14.25" customHeight="1">
      <c r="A271" s="210" t="s">
        <v>379</v>
      </c>
      <c r="B271" s="211"/>
      <c r="C271" s="211"/>
      <c r="D271" s="211"/>
      <c r="E271" s="211"/>
      <c r="F271" s="211" t="s">
        <v>375</v>
      </c>
      <c r="G271" s="211"/>
      <c r="H271" s="211"/>
      <c r="I271" s="211"/>
      <c r="J271" s="211"/>
      <c r="K271" s="211"/>
      <c r="L271" s="211"/>
      <c r="M271" s="211" t="s">
        <v>369</v>
      </c>
      <c r="N271" s="211"/>
      <c r="O271" s="211"/>
      <c r="P271" s="211"/>
      <c r="Q271" s="211"/>
      <c r="R271" s="211"/>
      <c r="S271" s="211"/>
      <c r="T271" s="211"/>
      <c r="U271" s="211"/>
      <c r="V271" s="211"/>
      <c r="W271" s="211"/>
      <c r="X271" s="211" t="s">
        <v>364</v>
      </c>
      <c r="Y271" s="211"/>
      <c r="Z271" s="211"/>
      <c r="AA271" s="211"/>
      <c r="AB271" s="211"/>
      <c r="AC271" s="211"/>
      <c r="AD271" s="211"/>
      <c r="AE271" s="211"/>
      <c r="AF271" s="211"/>
      <c r="AG271" s="211" t="s">
        <v>380</v>
      </c>
      <c r="AH271" s="211"/>
      <c r="AI271" s="211"/>
      <c r="AJ271" s="211"/>
      <c r="AK271" s="211"/>
      <c r="AL271" s="211"/>
      <c r="AM271" s="211"/>
      <c r="AN271" s="211"/>
      <c r="AO271" s="211"/>
      <c r="AP271" s="212"/>
    </row>
    <row r="272" spans="1:42" s="15" customFormat="1" ht="14.25" customHeight="1">
      <c r="A272" s="191"/>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206"/>
      <c r="AH272" s="206"/>
      <c r="AI272" s="206"/>
      <c r="AJ272" s="206"/>
      <c r="AK272" s="206"/>
      <c r="AL272" s="206"/>
      <c r="AM272" s="206"/>
      <c r="AN272" s="206"/>
      <c r="AO272" s="206"/>
      <c r="AP272" s="207"/>
    </row>
    <row r="273" spans="1:42" s="15" customFormat="1" ht="14.25" customHeight="1">
      <c r="A273" s="185"/>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c r="AF273" s="186"/>
      <c r="AG273" s="208"/>
      <c r="AH273" s="208"/>
      <c r="AI273" s="208"/>
      <c r="AJ273" s="208"/>
      <c r="AK273" s="208"/>
      <c r="AL273" s="208"/>
      <c r="AM273" s="208"/>
      <c r="AN273" s="208"/>
      <c r="AO273" s="208"/>
      <c r="AP273" s="209"/>
    </row>
    <row r="274" spans="1:42" s="15" customFormat="1" ht="10.5" customHeight="1">
      <c r="A274" s="26"/>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8"/>
    </row>
    <row r="275" spans="1:42" s="15" customFormat="1" ht="14.25" customHeight="1">
      <c r="A275" s="25" t="s">
        <v>381</v>
      </c>
      <c r="AP275" s="24"/>
    </row>
    <row r="276" spans="1:42" s="15" customFormat="1" ht="14.25" customHeight="1">
      <c r="A276" s="23" t="s">
        <v>382</v>
      </c>
      <c r="AP276" s="24"/>
    </row>
    <row r="277" spans="1:42" s="15" customFormat="1" ht="14.25" customHeight="1">
      <c r="A277" s="210" t="s">
        <v>362</v>
      </c>
      <c r="B277" s="211"/>
      <c r="C277" s="211"/>
      <c r="D277" s="211"/>
      <c r="E277" s="211"/>
      <c r="F277" s="211"/>
      <c r="G277" s="211"/>
      <c r="H277" s="211" t="s">
        <v>369</v>
      </c>
      <c r="I277" s="211"/>
      <c r="J277" s="211"/>
      <c r="K277" s="211"/>
      <c r="L277" s="211"/>
      <c r="M277" s="211"/>
      <c r="N277" s="211"/>
      <c r="O277" s="211"/>
      <c r="P277" s="211"/>
      <c r="Q277" s="211"/>
      <c r="R277" s="211"/>
      <c r="S277" s="211"/>
      <c r="T277" s="211"/>
      <c r="U277" s="211"/>
      <c r="V277" s="211"/>
      <c r="W277" s="211" t="s">
        <v>370</v>
      </c>
      <c r="X277" s="211"/>
      <c r="Y277" s="211"/>
      <c r="Z277" s="211"/>
      <c r="AA277" s="211"/>
      <c r="AB277" s="211"/>
      <c r="AC277" s="211"/>
      <c r="AD277" s="211"/>
      <c r="AE277" s="211" t="s">
        <v>383</v>
      </c>
      <c r="AF277" s="211"/>
      <c r="AG277" s="211"/>
      <c r="AH277" s="211"/>
      <c r="AI277" s="211"/>
      <c r="AJ277" s="211"/>
      <c r="AK277" s="211"/>
      <c r="AL277" s="211"/>
      <c r="AM277" s="211"/>
      <c r="AN277" s="211"/>
      <c r="AO277" s="211"/>
      <c r="AP277" s="212"/>
    </row>
    <row r="278" spans="1:42" s="15" customFormat="1" ht="14.25" customHeight="1">
      <c r="A278" s="191"/>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206"/>
      <c r="AF278" s="206"/>
      <c r="AG278" s="206"/>
      <c r="AH278" s="206"/>
      <c r="AI278" s="206"/>
      <c r="AJ278" s="206"/>
      <c r="AK278" s="206"/>
      <c r="AL278" s="206"/>
      <c r="AM278" s="206"/>
      <c r="AN278" s="206"/>
      <c r="AO278" s="206"/>
      <c r="AP278" s="207"/>
    </row>
    <row r="279" spans="1:42" s="15" customFormat="1" ht="14.25" customHeight="1">
      <c r="A279" s="185"/>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208"/>
      <c r="AF279" s="208"/>
      <c r="AG279" s="208"/>
      <c r="AH279" s="208"/>
      <c r="AI279" s="208"/>
      <c r="AJ279" s="208"/>
      <c r="AK279" s="208"/>
      <c r="AL279" s="208"/>
      <c r="AM279" s="208"/>
      <c r="AN279" s="208"/>
      <c r="AO279" s="208"/>
      <c r="AP279" s="209"/>
    </row>
    <row r="280" spans="1:42" s="15" customFormat="1" ht="10.5" customHeight="1">
      <c r="A280" s="26"/>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8"/>
    </row>
    <row r="281" spans="1:42" s="15" customFormat="1" ht="14.25" customHeight="1">
      <c r="A281" s="25" t="s">
        <v>384</v>
      </c>
      <c r="AP281" s="24"/>
    </row>
    <row r="282" spans="1:42" s="15" customFormat="1" ht="14.25" customHeight="1">
      <c r="A282" s="23" t="s">
        <v>385</v>
      </c>
      <c r="AP282" s="24"/>
    </row>
    <row r="283" spans="1:42" s="29" customFormat="1" ht="14.25" customHeight="1">
      <c r="A283" s="202" t="s">
        <v>386</v>
      </c>
      <c r="B283" s="203"/>
      <c r="C283" s="203"/>
      <c r="D283" s="203"/>
      <c r="E283" s="203" t="s">
        <v>387</v>
      </c>
      <c r="F283" s="203"/>
      <c r="G283" s="203"/>
      <c r="H283" s="203"/>
      <c r="I283" s="203"/>
      <c r="J283" s="203"/>
      <c r="K283" s="203" t="s">
        <v>388</v>
      </c>
      <c r="L283" s="203"/>
      <c r="M283" s="203"/>
      <c r="N283" s="203"/>
      <c r="O283" s="203"/>
      <c r="P283" s="203"/>
      <c r="Q283" s="203"/>
      <c r="R283" s="203"/>
      <c r="S283" s="203"/>
      <c r="T283" s="203"/>
      <c r="U283" s="203"/>
      <c r="V283" s="203" t="s">
        <v>389</v>
      </c>
      <c r="W283" s="203"/>
      <c r="X283" s="203"/>
      <c r="Y283" s="203"/>
      <c r="Z283" s="203"/>
      <c r="AA283" s="203"/>
      <c r="AB283" s="203"/>
      <c r="AC283" s="203"/>
      <c r="AD283" s="203"/>
      <c r="AE283" s="203"/>
      <c r="AF283" s="203"/>
      <c r="AG283" s="203"/>
      <c r="AH283" s="203"/>
      <c r="AI283" s="203" t="s">
        <v>135</v>
      </c>
      <c r="AJ283" s="203"/>
      <c r="AK283" s="203"/>
      <c r="AL283" s="203"/>
      <c r="AM283" s="203"/>
      <c r="AN283" s="203"/>
      <c r="AO283" s="203"/>
      <c r="AP283" s="204"/>
    </row>
    <row r="284" spans="1:42" s="15" customFormat="1" ht="14.25" customHeight="1">
      <c r="A284" s="191"/>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205"/>
    </row>
    <row r="285" spans="1:42" s="15" customFormat="1" ht="14.25" customHeight="1">
      <c r="A285" s="185"/>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200"/>
    </row>
    <row r="286" spans="1:42" s="15" customFormat="1" ht="10.5" customHeight="1"/>
    <row r="287" spans="1:42" s="15" customFormat="1" ht="14.25" customHeight="1">
      <c r="A287" s="30" t="s">
        <v>390</v>
      </c>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2"/>
    </row>
    <row r="288" spans="1:42" s="15" customFormat="1" ht="14.25" customHeight="1">
      <c r="A288" s="33" t="s">
        <v>391</v>
      </c>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2"/>
    </row>
    <row r="289" spans="1:44" s="29" customFormat="1" ht="14.25" customHeight="1">
      <c r="A289" s="201" t="s">
        <v>392</v>
      </c>
      <c r="B289" s="189"/>
      <c r="C289" s="189"/>
      <c r="D289" s="189"/>
      <c r="E289" s="189" t="s">
        <v>393</v>
      </c>
      <c r="F289" s="189"/>
      <c r="G289" s="189"/>
      <c r="H289" s="189"/>
      <c r="I289" s="189"/>
      <c r="J289" s="189"/>
      <c r="K289" s="189" t="s">
        <v>394</v>
      </c>
      <c r="L289" s="189"/>
      <c r="M289" s="189"/>
      <c r="N289" s="189"/>
      <c r="O289" s="189"/>
      <c r="P289" s="189"/>
      <c r="Q289" s="189"/>
      <c r="R289" s="189"/>
      <c r="S289" s="189"/>
      <c r="T289" s="189"/>
      <c r="U289" s="189"/>
      <c r="V289" s="189" t="s">
        <v>395</v>
      </c>
      <c r="W289" s="189"/>
      <c r="X289" s="189"/>
      <c r="Y289" s="189"/>
      <c r="Z289" s="189"/>
      <c r="AA289" s="189"/>
      <c r="AB289" s="189"/>
      <c r="AC289" s="189"/>
      <c r="AD289" s="189"/>
      <c r="AE289" s="189" t="s">
        <v>138</v>
      </c>
      <c r="AF289" s="189"/>
      <c r="AG289" s="189"/>
      <c r="AH289" s="189"/>
      <c r="AI289" s="189"/>
      <c r="AJ289" s="189"/>
      <c r="AK289" s="189" t="s">
        <v>383</v>
      </c>
      <c r="AL289" s="189"/>
      <c r="AM289" s="189"/>
      <c r="AN289" s="189"/>
      <c r="AO289" s="189"/>
      <c r="AP289" s="190"/>
    </row>
    <row r="290" spans="1:44" s="15" customFormat="1" ht="14.25" customHeight="1">
      <c r="A290" s="191"/>
      <c r="B290" s="192"/>
      <c r="C290" s="192"/>
      <c r="D290" s="192"/>
      <c r="E290" s="192"/>
      <c r="F290" s="192"/>
      <c r="G290" s="192"/>
      <c r="H290" s="192"/>
      <c r="I290" s="192"/>
      <c r="J290" s="192"/>
      <c r="K290" s="192"/>
      <c r="L290" s="192"/>
      <c r="M290" s="192"/>
      <c r="N290" s="192"/>
      <c r="O290" s="192"/>
      <c r="P290" s="192"/>
      <c r="Q290" s="192"/>
      <c r="R290" s="192"/>
      <c r="S290" s="192"/>
      <c r="T290" s="192"/>
      <c r="U290" s="192"/>
      <c r="V290" s="193"/>
      <c r="W290" s="193"/>
      <c r="X290" s="193"/>
      <c r="Y290" s="193"/>
      <c r="Z290" s="193"/>
      <c r="AA290" s="193"/>
      <c r="AB290" s="193"/>
      <c r="AC290" s="193"/>
      <c r="AD290" s="193"/>
      <c r="AE290" s="193"/>
      <c r="AF290" s="193"/>
      <c r="AG290" s="193"/>
      <c r="AH290" s="193"/>
      <c r="AI290" s="193"/>
      <c r="AJ290" s="193"/>
      <c r="AK290" s="193"/>
      <c r="AL290" s="193"/>
      <c r="AM290" s="193"/>
      <c r="AN290" s="193"/>
      <c r="AO290" s="193"/>
      <c r="AP290" s="194"/>
    </row>
    <row r="291" spans="1:44" s="15" customFormat="1" ht="14.25" customHeight="1">
      <c r="A291" s="185"/>
      <c r="B291" s="186"/>
      <c r="C291" s="186"/>
      <c r="D291" s="186"/>
      <c r="E291" s="186"/>
      <c r="F291" s="186"/>
      <c r="G291" s="186"/>
      <c r="H291" s="186"/>
      <c r="I291" s="186"/>
      <c r="J291" s="186"/>
      <c r="K291" s="186"/>
      <c r="L291" s="186"/>
      <c r="M291" s="186"/>
      <c r="N291" s="186"/>
      <c r="O291" s="186"/>
      <c r="P291" s="186"/>
      <c r="Q291" s="186"/>
      <c r="R291" s="186"/>
      <c r="S291" s="186"/>
      <c r="T291" s="186"/>
      <c r="U291" s="186"/>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8"/>
    </row>
    <row r="292" spans="1:44" s="15" customFormat="1" ht="16.5" customHeight="1">
      <c r="A292" s="166" t="s">
        <v>396</v>
      </c>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c r="AG292" s="166"/>
      <c r="AH292" s="166"/>
      <c r="AI292" s="166"/>
      <c r="AJ292" s="166"/>
      <c r="AK292" s="166"/>
      <c r="AL292" s="166"/>
      <c r="AM292" s="166"/>
      <c r="AN292" s="166"/>
      <c r="AO292" s="166"/>
      <c r="AP292" s="166"/>
    </row>
    <row r="293" spans="1:44" ht="177" customHeight="1">
      <c r="A293" s="167" t="s">
        <v>514</v>
      </c>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9"/>
    </row>
    <row r="294" spans="1:44" ht="17.2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c r="AP294" s="68"/>
    </row>
    <row r="295" spans="1:44">
      <c r="A295" s="822" t="s">
        <v>397</v>
      </c>
      <c r="B295" s="822"/>
      <c r="C295" s="822"/>
      <c r="D295" s="822"/>
      <c r="E295" s="822"/>
      <c r="F295" s="822"/>
      <c r="G295" s="822"/>
      <c r="H295" s="822"/>
      <c r="I295" s="822"/>
      <c r="J295" s="822"/>
      <c r="K295" s="822"/>
      <c r="L295" s="822"/>
      <c r="M295" s="822"/>
      <c r="N295" s="822"/>
      <c r="O295" s="822"/>
      <c r="P295" s="822"/>
      <c r="Q295" s="822"/>
      <c r="R295" s="822"/>
      <c r="S295" s="822"/>
      <c r="T295" s="822"/>
      <c r="U295" s="822"/>
      <c r="V295" s="822"/>
      <c r="W295" s="822"/>
      <c r="X295" s="822"/>
      <c r="Y295" s="822"/>
      <c r="Z295" s="822"/>
      <c r="AA295" s="822"/>
      <c r="AB295" s="822"/>
      <c r="AC295" s="822"/>
      <c r="AD295" s="822"/>
      <c r="AE295" s="822"/>
      <c r="AF295" s="822"/>
      <c r="AG295" s="822"/>
      <c r="AH295" s="822"/>
      <c r="AI295" s="822"/>
      <c r="AJ295" s="822"/>
      <c r="AK295" s="822"/>
      <c r="AL295" s="822"/>
      <c r="AM295" s="822"/>
      <c r="AN295" s="822"/>
      <c r="AO295" s="822"/>
      <c r="AP295" s="822"/>
    </row>
    <row r="296" spans="1:44" s="18" customFormat="1" ht="24.75" customHeight="1">
      <c r="A296" s="170" t="s">
        <v>398</v>
      </c>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c r="AC296" s="171"/>
      <c r="AD296" s="171"/>
      <c r="AE296" s="171"/>
      <c r="AF296" s="171"/>
      <c r="AG296" s="171"/>
      <c r="AH296" s="171"/>
      <c r="AI296" s="171"/>
      <c r="AJ296" s="171"/>
      <c r="AK296" s="171"/>
      <c r="AL296" s="171"/>
      <c r="AM296" s="171"/>
      <c r="AN296" s="171"/>
      <c r="AO296" s="171"/>
      <c r="AP296" s="172"/>
    </row>
    <row r="297" spans="1:44" s="18" customFormat="1" ht="19.5" customHeight="1">
      <c r="A297" s="173" t="s">
        <v>399</v>
      </c>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row>
    <row r="298" spans="1:44" s="15" customFormat="1" ht="21.75" customHeight="1">
      <c r="A298" s="174" t="s">
        <v>400</v>
      </c>
      <c r="B298" s="175"/>
      <c r="C298" s="175"/>
      <c r="D298" s="176"/>
      <c r="E298" s="174" t="s">
        <v>401</v>
      </c>
      <c r="F298" s="175"/>
      <c r="G298" s="175"/>
      <c r="H298" s="175"/>
      <c r="I298" s="175"/>
      <c r="J298" s="175"/>
      <c r="K298" s="181">
        <f>G7</f>
        <v>0</v>
      </c>
      <c r="L298" s="181"/>
      <c r="M298" s="181"/>
      <c r="N298" s="181"/>
      <c r="O298" s="181"/>
      <c r="P298" s="181"/>
      <c r="Q298" s="181"/>
      <c r="R298" s="181"/>
      <c r="S298" s="181"/>
      <c r="T298" s="181"/>
      <c r="U298" s="181"/>
      <c r="V298" s="181"/>
      <c r="W298" s="181" t="s">
        <v>402</v>
      </c>
      <c r="X298" s="181"/>
      <c r="Y298" s="181"/>
      <c r="Z298" s="181"/>
      <c r="AA298" s="181"/>
      <c r="AB298" s="181"/>
      <c r="AC298" s="181"/>
      <c r="AD298" s="181"/>
      <c r="AE298" s="181">
        <f>AB7</f>
        <v>0</v>
      </c>
      <c r="AF298" s="181"/>
      <c r="AG298" s="181"/>
      <c r="AH298" s="181"/>
      <c r="AI298" s="181"/>
      <c r="AJ298" s="181"/>
      <c r="AK298" s="181"/>
      <c r="AL298" s="181"/>
      <c r="AM298" s="181"/>
      <c r="AN298" s="181"/>
      <c r="AO298" s="181"/>
      <c r="AP298" s="182"/>
    </row>
    <row r="299" spans="1:44" s="15" customFormat="1" ht="21.75" customHeight="1">
      <c r="A299" s="153"/>
      <c r="B299" s="154"/>
      <c r="C299" s="154"/>
      <c r="D299" s="177"/>
      <c r="E299" s="153" t="s">
        <v>352</v>
      </c>
      <c r="F299" s="154"/>
      <c r="G299" s="154"/>
      <c r="H299" s="154"/>
      <c r="I299" s="154"/>
      <c r="J299" s="154"/>
      <c r="K299" s="155" t="str">
        <f>G6</f>
        <v xml:space="preserve"> </v>
      </c>
      <c r="L299" s="155"/>
      <c r="M299" s="155"/>
      <c r="N299" s="155"/>
      <c r="O299" s="155"/>
      <c r="P299" s="155"/>
      <c r="Q299" s="155"/>
      <c r="R299" s="155"/>
      <c r="S299" s="155"/>
      <c r="T299" s="155"/>
      <c r="U299" s="155"/>
      <c r="V299" s="155"/>
      <c r="W299" s="155" t="s">
        <v>403</v>
      </c>
      <c r="X299" s="155"/>
      <c r="Y299" s="155"/>
      <c r="Z299" s="155"/>
      <c r="AA299" s="155"/>
      <c r="AB299" s="155"/>
      <c r="AC299" s="155"/>
      <c r="AD299" s="155"/>
      <c r="AE299" s="155" t="str">
        <f>AB6</f>
        <v xml:space="preserve"> </v>
      </c>
      <c r="AF299" s="155"/>
      <c r="AG299" s="155"/>
      <c r="AH299" s="155"/>
      <c r="AI299" s="155"/>
      <c r="AJ299" s="155"/>
      <c r="AK299" s="155"/>
      <c r="AL299" s="155"/>
      <c r="AM299" s="155"/>
      <c r="AN299" s="155"/>
      <c r="AO299" s="155"/>
      <c r="AP299" s="156"/>
    </row>
    <row r="300" spans="1:44" s="15" customFormat="1" ht="21.75" customHeight="1">
      <c r="A300" s="153"/>
      <c r="B300" s="154"/>
      <c r="C300" s="154"/>
      <c r="D300" s="177"/>
      <c r="E300" s="153" t="s">
        <v>404</v>
      </c>
      <c r="F300" s="154"/>
      <c r="G300" s="154"/>
      <c r="H300" s="154"/>
      <c r="I300" s="154"/>
      <c r="J300" s="154"/>
      <c r="K300" s="157"/>
      <c r="L300" s="157"/>
      <c r="M300" s="157"/>
      <c r="N300" s="157"/>
      <c r="O300" s="157"/>
      <c r="P300" s="157"/>
      <c r="Q300" s="157"/>
      <c r="R300" s="157"/>
      <c r="S300" s="157"/>
      <c r="T300" s="157"/>
      <c r="U300" s="157"/>
      <c r="V300" s="157"/>
      <c r="W300" s="157"/>
      <c r="X300" s="157"/>
      <c r="Y300" s="157"/>
      <c r="Z300" s="157"/>
      <c r="AA300" s="157"/>
      <c r="AB300" s="157"/>
      <c r="AC300" s="157"/>
      <c r="AD300" s="157"/>
      <c r="AE300" s="157"/>
      <c r="AF300" s="158" t="s">
        <v>405</v>
      </c>
      <c r="AG300" s="158"/>
      <c r="AH300" s="158"/>
      <c r="AI300" s="158"/>
      <c r="AJ300" s="158"/>
      <c r="AK300" s="158"/>
      <c r="AL300" s="158"/>
      <c r="AM300" s="158"/>
      <c r="AN300" s="158"/>
      <c r="AO300" s="158"/>
      <c r="AP300" s="159"/>
    </row>
    <row r="301" spans="1:44" s="15" customFormat="1" ht="21.75" customHeight="1">
      <c r="A301" s="178"/>
      <c r="B301" s="179"/>
      <c r="C301" s="179"/>
      <c r="D301" s="180"/>
      <c r="E301" s="195" t="s">
        <v>406</v>
      </c>
      <c r="F301" s="196"/>
      <c r="G301" s="196"/>
      <c r="H301" s="196"/>
      <c r="I301" s="196"/>
      <c r="J301" s="196"/>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8" t="s">
        <v>407</v>
      </c>
      <c r="AG301" s="198"/>
      <c r="AH301" s="198"/>
      <c r="AI301" s="198"/>
      <c r="AJ301" s="198"/>
      <c r="AK301" s="198"/>
      <c r="AL301" s="198"/>
      <c r="AM301" s="198"/>
      <c r="AN301" s="198"/>
      <c r="AO301" s="198"/>
      <c r="AP301" s="199"/>
    </row>
    <row r="302" spans="1:44" s="15" customFormat="1" ht="13.5"/>
    <row r="303" spans="1:44" s="15" customFormat="1" ht="14.25" customHeight="1">
      <c r="A303" s="15" t="s">
        <v>408</v>
      </c>
    </row>
    <row r="304" spans="1:44" s="14" customFormat="1" ht="19.5" customHeight="1">
      <c r="A304" s="102" t="s">
        <v>409</v>
      </c>
      <c r="B304" s="103"/>
      <c r="C304" s="103"/>
      <c r="D304" s="103" t="s">
        <v>410</v>
      </c>
      <c r="E304" s="103"/>
      <c r="F304" s="103"/>
      <c r="G304" s="103"/>
      <c r="H304" s="103" t="s">
        <v>411</v>
      </c>
      <c r="I304" s="103"/>
      <c r="J304" s="103"/>
      <c r="K304" s="103" t="s">
        <v>412</v>
      </c>
      <c r="L304" s="103"/>
      <c r="M304" s="103"/>
      <c r="N304" s="103"/>
      <c r="O304" s="103"/>
      <c r="P304" s="103" t="s">
        <v>413</v>
      </c>
      <c r="Q304" s="103"/>
      <c r="R304" s="103"/>
      <c r="S304" s="103"/>
      <c r="T304" s="103"/>
      <c r="U304" s="103"/>
      <c r="V304" s="103"/>
      <c r="W304" s="103"/>
      <c r="X304" s="103"/>
      <c r="Y304" s="103"/>
      <c r="Z304" s="138" t="s">
        <v>414</v>
      </c>
      <c r="AA304" s="139"/>
      <c r="AB304" s="139"/>
      <c r="AC304" s="139"/>
      <c r="AD304" s="139"/>
      <c r="AE304" s="139"/>
      <c r="AF304" s="139"/>
      <c r="AG304" s="140"/>
      <c r="AH304" s="103" t="s">
        <v>415</v>
      </c>
      <c r="AI304" s="103"/>
      <c r="AJ304" s="103"/>
      <c r="AK304" s="103"/>
      <c r="AL304" s="103"/>
      <c r="AM304" s="103" t="s">
        <v>416</v>
      </c>
      <c r="AN304" s="103"/>
      <c r="AO304" s="103"/>
      <c r="AP304" s="183"/>
      <c r="AQ304" s="56"/>
      <c r="AR304" s="56"/>
    </row>
    <row r="305" spans="1:44" s="14" customFormat="1" ht="9.75" customHeight="1">
      <c r="A305" s="104"/>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47" t="s">
        <v>417</v>
      </c>
      <c r="AA305" s="148"/>
      <c r="AB305" s="148"/>
      <c r="AC305" s="149"/>
      <c r="AD305" s="141" t="s">
        <v>418</v>
      </c>
      <c r="AE305" s="142"/>
      <c r="AF305" s="142"/>
      <c r="AG305" s="143"/>
      <c r="AH305" s="105"/>
      <c r="AI305" s="105"/>
      <c r="AJ305" s="105"/>
      <c r="AK305" s="105"/>
      <c r="AL305" s="105"/>
      <c r="AM305" s="105"/>
      <c r="AN305" s="105"/>
      <c r="AO305" s="105"/>
      <c r="AP305" s="184"/>
      <c r="AQ305" s="56"/>
      <c r="AR305" s="56"/>
    </row>
    <row r="306" spans="1:44" s="14" customFormat="1" ht="9.75" customHeight="1">
      <c r="A306" s="104"/>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50"/>
      <c r="AA306" s="151"/>
      <c r="AB306" s="151"/>
      <c r="AC306" s="152"/>
      <c r="AD306" s="144"/>
      <c r="AE306" s="145"/>
      <c r="AF306" s="145"/>
      <c r="AG306" s="146"/>
      <c r="AH306" s="105"/>
      <c r="AI306" s="105"/>
      <c r="AJ306" s="105"/>
      <c r="AK306" s="105"/>
      <c r="AL306" s="105"/>
      <c r="AM306" s="105"/>
      <c r="AN306" s="105"/>
      <c r="AO306" s="105"/>
      <c r="AP306" s="184"/>
      <c r="AQ306" s="57"/>
      <c r="AR306" s="57"/>
    </row>
    <row r="307" spans="1:44" s="15" customFormat="1" ht="19.5" customHeight="1">
      <c r="A307" s="119"/>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33"/>
      <c r="AA307" s="134"/>
      <c r="AB307" s="134"/>
      <c r="AC307" s="135"/>
      <c r="AD307" s="133"/>
      <c r="AE307" s="134"/>
      <c r="AF307" s="134"/>
      <c r="AG307" s="135"/>
      <c r="AH307" s="165"/>
      <c r="AI307" s="165"/>
      <c r="AJ307" s="165"/>
      <c r="AK307" s="165"/>
      <c r="AL307" s="165"/>
      <c r="AM307" s="160"/>
      <c r="AN307" s="160"/>
      <c r="AO307" s="160"/>
      <c r="AP307" s="161"/>
      <c r="AQ307" s="34"/>
      <c r="AR307" s="34"/>
    </row>
    <row r="308" spans="1:44" s="15" customFormat="1" ht="19.5" customHeight="1">
      <c r="A308" s="119"/>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33"/>
      <c r="AA308" s="134"/>
      <c r="AB308" s="134"/>
      <c r="AC308" s="135"/>
      <c r="AD308" s="133"/>
      <c r="AE308" s="134"/>
      <c r="AF308" s="134"/>
      <c r="AG308" s="135"/>
      <c r="AH308" s="165"/>
      <c r="AI308" s="165"/>
      <c r="AJ308" s="165"/>
      <c r="AK308" s="165"/>
      <c r="AL308" s="165"/>
      <c r="AM308" s="160"/>
      <c r="AN308" s="160"/>
      <c r="AO308" s="160"/>
      <c r="AP308" s="161"/>
      <c r="AQ308" s="34"/>
      <c r="AR308" s="34"/>
    </row>
    <row r="309" spans="1:44" ht="19.5" customHeight="1">
      <c r="A309" s="108"/>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12"/>
      <c r="AA309" s="113"/>
      <c r="AB309" s="113"/>
      <c r="AC309" s="114"/>
      <c r="AD309" s="112"/>
      <c r="AE309" s="113"/>
      <c r="AF309" s="113"/>
      <c r="AG309" s="114"/>
      <c r="AH309" s="162"/>
      <c r="AI309" s="162"/>
      <c r="AJ309" s="162"/>
      <c r="AK309" s="162"/>
      <c r="AL309" s="162"/>
      <c r="AM309" s="163"/>
      <c r="AN309" s="163"/>
      <c r="AO309" s="163"/>
      <c r="AP309" s="164"/>
      <c r="AQ309" s="34"/>
      <c r="AR309" s="34"/>
    </row>
    <row r="310" spans="1:44">
      <c r="A310" s="54" t="s">
        <v>419</v>
      </c>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row>
    <row r="311" spans="1:44">
      <c r="A311" s="54" t="s">
        <v>420</v>
      </c>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row>
    <row r="312" spans="1:44">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row>
    <row r="313" spans="1:44" ht="17.25">
      <c r="A313" s="36" t="s">
        <v>421</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row>
    <row r="314" spans="1:44" ht="17.25">
      <c r="A314" s="36"/>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row>
    <row r="315" spans="1:44">
      <c r="A315" s="36" t="s">
        <v>422</v>
      </c>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row>
    <row r="316" spans="1:44" s="14" customFormat="1" ht="16.5" customHeight="1">
      <c r="A316" s="125" t="s">
        <v>525</v>
      </c>
      <c r="B316" s="126"/>
      <c r="C316" s="126"/>
      <c r="D316" s="126" t="s">
        <v>520</v>
      </c>
      <c r="E316" s="126"/>
      <c r="F316" s="126"/>
      <c r="G316" s="126"/>
      <c r="H316" s="126"/>
      <c r="I316" s="126"/>
      <c r="J316" s="126"/>
      <c r="K316" s="126"/>
      <c r="L316" s="126" t="s">
        <v>521</v>
      </c>
      <c r="M316" s="126"/>
      <c r="N316" s="126"/>
      <c r="O316" s="126"/>
      <c r="P316" s="126"/>
      <c r="Q316" s="126"/>
      <c r="R316" s="126"/>
      <c r="S316" s="126"/>
      <c r="T316" s="126"/>
      <c r="U316" s="126" t="s">
        <v>522</v>
      </c>
      <c r="V316" s="126"/>
      <c r="W316" s="126"/>
      <c r="X316" s="126"/>
      <c r="Y316" s="126" t="s">
        <v>423</v>
      </c>
      <c r="Z316" s="126"/>
      <c r="AA316" s="126"/>
      <c r="AB316" s="126"/>
      <c r="AC316" s="126"/>
      <c r="AD316" s="126"/>
      <c r="AE316" s="126"/>
      <c r="AF316" s="126"/>
      <c r="AG316" s="126"/>
      <c r="AH316" s="126"/>
      <c r="AI316" s="126"/>
      <c r="AJ316" s="126"/>
      <c r="AK316" s="126"/>
      <c r="AL316" s="126"/>
      <c r="AM316" s="129" t="s">
        <v>424</v>
      </c>
      <c r="AN316" s="129"/>
      <c r="AO316" s="129"/>
      <c r="AP316" s="130"/>
      <c r="AQ316" s="56"/>
      <c r="AR316" s="56"/>
    </row>
    <row r="317" spans="1:44" s="14" customFormat="1" ht="16.5" customHeight="1">
      <c r="A317" s="127"/>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36" t="s">
        <v>523</v>
      </c>
      <c r="Z317" s="137"/>
      <c r="AA317" s="137"/>
      <c r="AB317" s="137"/>
      <c r="AC317" s="127"/>
      <c r="AD317" s="131" t="s">
        <v>524</v>
      </c>
      <c r="AE317" s="131"/>
      <c r="AF317" s="131"/>
      <c r="AG317" s="131"/>
      <c r="AH317" s="131"/>
      <c r="AI317" s="131" t="s">
        <v>425</v>
      </c>
      <c r="AJ317" s="131"/>
      <c r="AK317" s="131"/>
      <c r="AL317" s="131"/>
      <c r="AM317" s="131"/>
      <c r="AN317" s="131"/>
      <c r="AO317" s="131"/>
      <c r="AP317" s="132"/>
      <c r="AQ317" s="56"/>
      <c r="AR317" s="56"/>
    </row>
    <row r="318" spans="1:44" ht="18.75" customHeight="1">
      <c r="A318" s="119"/>
      <c r="B318" s="120"/>
      <c r="C318" s="120"/>
      <c r="D318" s="120"/>
      <c r="E318" s="120"/>
      <c r="F318" s="120"/>
      <c r="G318" s="120"/>
      <c r="H318" s="120"/>
      <c r="I318" s="120"/>
      <c r="J318" s="120"/>
      <c r="K318" s="120"/>
      <c r="L318" s="123"/>
      <c r="M318" s="124"/>
      <c r="N318" s="124"/>
      <c r="O318" s="124"/>
      <c r="P318" s="124"/>
      <c r="Q318" s="124"/>
      <c r="R318" s="124"/>
      <c r="S318" s="124"/>
      <c r="T318" s="119"/>
      <c r="U318" s="120"/>
      <c r="V318" s="120"/>
      <c r="W318" s="120"/>
      <c r="X318" s="120"/>
      <c r="Y318" s="133"/>
      <c r="Z318" s="134"/>
      <c r="AA318" s="134"/>
      <c r="AB318" s="134"/>
      <c r="AC318" s="135"/>
      <c r="AD318" s="121" t="str">
        <f>IF(ISBLANK(W318),"",IF(W318&gt;=3000000,3000000,W318))</f>
        <v/>
      </c>
      <c r="AE318" s="121"/>
      <c r="AF318" s="121"/>
      <c r="AG318" s="121"/>
      <c r="AH318" s="121"/>
      <c r="AI318" s="121"/>
      <c r="AJ318" s="121"/>
      <c r="AK318" s="121"/>
      <c r="AL318" s="121"/>
      <c r="AM318" s="121"/>
      <c r="AN318" s="121"/>
      <c r="AO318" s="121"/>
      <c r="AP318" s="122"/>
      <c r="AQ318" s="38"/>
      <c r="AR318" s="38"/>
    </row>
    <row r="319" spans="1:44" ht="18.75" customHeight="1">
      <c r="A319" s="119"/>
      <c r="B319" s="120"/>
      <c r="C319" s="120"/>
      <c r="D319" s="120"/>
      <c r="E319" s="120"/>
      <c r="F319" s="120"/>
      <c r="G319" s="120"/>
      <c r="H319" s="120"/>
      <c r="I319" s="120"/>
      <c r="J319" s="120"/>
      <c r="K319" s="120"/>
      <c r="L319" s="123"/>
      <c r="M319" s="124"/>
      <c r="N319" s="124"/>
      <c r="O319" s="124"/>
      <c r="P319" s="124"/>
      <c r="Q319" s="124"/>
      <c r="R319" s="124"/>
      <c r="S319" s="124"/>
      <c r="T319" s="119"/>
      <c r="U319" s="120"/>
      <c r="V319" s="120"/>
      <c r="W319" s="120"/>
      <c r="X319" s="120"/>
      <c r="Y319" s="133"/>
      <c r="Z319" s="134"/>
      <c r="AA319" s="134"/>
      <c r="AB319" s="134"/>
      <c r="AC319" s="135"/>
      <c r="AD319" s="121" t="str">
        <f>IF(ISBLANK(W319),"",IF(W319&gt;=3000000,3000000,W319))</f>
        <v/>
      </c>
      <c r="AE319" s="121"/>
      <c r="AF319" s="121"/>
      <c r="AG319" s="121"/>
      <c r="AH319" s="121"/>
      <c r="AI319" s="121"/>
      <c r="AJ319" s="121"/>
      <c r="AK319" s="121"/>
      <c r="AL319" s="121"/>
      <c r="AM319" s="121"/>
      <c r="AN319" s="121"/>
      <c r="AO319" s="121"/>
      <c r="AP319" s="122"/>
      <c r="AQ319" s="38"/>
      <c r="AR319" s="38"/>
    </row>
    <row r="320" spans="1:44" ht="18.75" customHeight="1">
      <c r="A320" s="108"/>
      <c r="B320" s="109"/>
      <c r="C320" s="109"/>
      <c r="D320" s="109"/>
      <c r="E320" s="109"/>
      <c r="F320" s="109"/>
      <c r="G320" s="109"/>
      <c r="H320" s="109"/>
      <c r="I320" s="109"/>
      <c r="J320" s="109"/>
      <c r="K320" s="109"/>
      <c r="L320" s="110"/>
      <c r="M320" s="111"/>
      <c r="N320" s="111"/>
      <c r="O320" s="111"/>
      <c r="P320" s="111"/>
      <c r="Q320" s="111"/>
      <c r="R320" s="111"/>
      <c r="S320" s="111"/>
      <c r="T320" s="108"/>
      <c r="U320" s="109"/>
      <c r="V320" s="109"/>
      <c r="W320" s="109"/>
      <c r="X320" s="109"/>
      <c r="Y320" s="112"/>
      <c r="Z320" s="113"/>
      <c r="AA320" s="113"/>
      <c r="AB320" s="113"/>
      <c r="AC320" s="114"/>
      <c r="AD320" s="100" t="str">
        <f>IF(ISBLANK(W320),"",IF(W320&gt;=3000000,3000000,W320))</f>
        <v/>
      </c>
      <c r="AE320" s="100"/>
      <c r="AF320" s="100"/>
      <c r="AG320" s="100"/>
      <c r="AH320" s="100"/>
      <c r="AI320" s="100"/>
      <c r="AJ320" s="100"/>
      <c r="AK320" s="100"/>
      <c r="AL320" s="100"/>
      <c r="AM320" s="100"/>
      <c r="AN320" s="100"/>
      <c r="AO320" s="100"/>
      <c r="AP320" s="101"/>
      <c r="AQ320" s="38"/>
      <c r="AR320" s="38"/>
    </row>
    <row r="321" spans="1:44">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40"/>
      <c r="Y321" s="40"/>
      <c r="Z321" s="40"/>
      <c r="AA321" s="40"/>
      <c r="AB321" s="40"/>
      <c r="AC321" s="40"/>
      <c r="AD321" s="40"/>
      <c r="AE321" s="40"/>
      <c r="AF321" s="40"/>
      <c r="AG321" s="40"/>
      <c r="AH321" s="41"/>
      <c r="AI321" s="41"/>
      <c r="AJ321" s="41"/>
      <c r="AK321" s="41"/>
      <c r="AL321" s="41"/>
      <c r="AM321" s="41"/>
      <c r="AN321" s="41"/>
      <c r="AO321" s="41"/>
      <c r="AP321" s="41"/>
      <c r="AQ321" s="38"/>
      <c r="AR321" s="38"/>
    </row>
    <row r="322" spans="1:44">
      <c r="A322" s="36" t="s">
        <v>426</v>
      </c>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row>
    <row r="323" spans="1:44" s="14" customFormat="1" ht="16.5" customHeight="1">
      <c r="A323" s="102" t="s">
        <v>427</v>
      </c>
      <c r="B323" s="103"/>
      <c r="C323" s="103"/>
      <c r="D323" s="103" t="s">
        <v>428</v>
      </c>
      <c r="E323" s="103"/>
      <c r="F323" s="103"/>
      <c r="G323" s="103"/>
      <c r="H323" s="103"/>
      <c r="I323" s="103"/>
      <c r="J323" s="106" t="s">
        <v>517</v>
      </c>
      <c r="K323" s="103"/>
      <c r="L323" s="103"/>
      <c r="M323" s="103"/>
      <c r="N323" s="103"/>
      <c r="O323" s="103" t="s">
        <v>516</v>
      </c>
      <c r="P323" s="103"/>
      <c r="Q323" s="103"/>
      <c r="R323" s="103"/>
      <c r="S323" s="103" t="s">
        <v>429</v>
      </c>
      <c r="T323" s="103"/>
      <c r="U323" s="103"/>
      <c r="V323" s="103"/>
      <c r="W323" s="103"/>
      <c r="X323" s="103"/>
      <c r="Y323" s="103"/>
      <c r="Z323" s="103"/>
      <c r="AA323" s="106" t="s">
        <v>518</v>
      </c>
      <c r="AB323" s="103"/>
      <c r="AC323" s="103"/>
      <c r="AD323" s="103"/>
      <c r="AE323" s="103"/>
      <c r="AF323" s="103"/>
      <c r="AG323" s="103"/>
      <c r="AH323" s="103"/>
      <c r="AI323" s="103"/>
      <c r="AJ323" s="103"/>
      <c r="AK323" s="115" t="s">
        <v>519</v>
      </c>
      <c r="AL323" s="116"/>
      <c r="AM323" s="116"/>
      <c r="AN323" s="116"/>
      <c r="AO323" s="116"/>
      <c r="AP323" s="116"/>
      <c r="AQ323" s="56"/>
      <c r="AR323" s="56"/>
    </row>
    <row r="324" spans="1:44" s="14" customFormat="1" ht="12">
      <c r="A324" s="104"/>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7" t="s">
        <v>430</v>
      </c>
      <c r="AB324" s="107"/>
      <c r="AC324" s="107"/>
      <c r="AD324" s="107"/>
      <c r="AE324" s="107"/>
      <c r="AF324" s="99" t="s">
        <v>431</v>
      </c>
      <c r="AG324" s="99"/>
      <c r="AH324" s="99"/>
      <c r="AI324" s="99"/>
      <c r="AJ324" s="99"/>
      <c r="AK324" s="117"/>
      <c r="AL324" s="118"/>
      <c r="AM324" s="118"/>
      <c r="AN324" s="118"/>
      <c r="AO324" s="118"/>
      <c r="AP324" s="118"/>
      <c r="AQ324" s="56"/>
      <c r="AR324" s="56"/>
    </row>
    <row r="325" spans="1:44" ht="18" customHeight="1">
      <c r="A325" s="90"/>
      <c r="B325" s="91"/>
      <c r="C325" s="91"/>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3"/>
      <c r="AB325" s="93"/>
      <c r="AC325" s="93"/>
      <c r="AD325" s="93"/>
      <c r="AE325" s="93"/>
      <c r="AF325" s="94"/>
      <c r="AG325" s="94"/>
      <c r="AH325" s="94"/>
      <c r="AI325" s="94"/>
      <c r="AJ325" s="94"/>
      <c r="AK325" s="97"/>
      <c r="AL325" s="98"/>
      <c r="AM325" s="98"/>
      <c r="AN325" s="98"/>
      <c r="AO325" s="98"/>
      <c r="AP325" s="98"/>
      <c r="AQ325" s="42"/>
      <c r="AR325" s="42"/>
    </row>
    <row r="326" spans="1:44" ht="18" customHeight="1">
      <c r="A326" s="90"/>
      <c r="B326" s="91"/>
      <c r="C326" s="91"/>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3"/>
      <c r="AB326" s="93"/>
      <c r="AC326" s="93"/>
      <c r="AD326" s="93"/>
      <c r="AE326" s="93"/>
      <c r="AF326" s="94"/>
      <c r="AG326" s="94"/>
      <c r="AH326" s="94"/>
      <c r="AI326" s="94"/>
      <c r="AJ326" s="94"/>
      <c r="AK326" s="97"/>
      <c r="AL326" s="98"/>
      <c r="AM326" s="98"/>
      <c r="AN326" s="98"/>
      <c r="AO326" s="98"/>
      <c r="AP326" s="98"/>
      <c r="AQ326" s="42"/>
      <c r="AR326" s="42"/>
    </row>
    <row r="327" spans="1:44" ht="18" customHeight="1">
      <c r="A327" s="86"/>
      <c r="B327" s="87"/>
      <c r="C327" s="87"/>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9"/>
      <c r="AB327" s="89"/>
      <c r="AC327" s="89"/>
      <c r="AD327" s="89"/>
      <c r="AE327" s="89"/>
      <c r="AF327" s="83"/>
      <c r="AG327" s="83"/>
      <c r="AH327" s="83"/>
      <c r="AI327" s="83"/>
      <c r="AJ327" s="83"/>
      <c r="AK327" s="95"/>
      <c r="AL327" s="96"/>
      <c r="AM327" s="96"/>
      <c r="AN327" s="96"/>
      <c r="AO327" s="96"/>
      <c r="AP327" s="96"/>
      <c r="AQ327" s="42"/>
      <c r="AR327" s="42"/>
    </row>
    <row r="328" spans="1:44" s="14" customFormat="1" ht="12">
      <c r="A328" s="54" t="s">
        <v>432</v>
      </c>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row>
    <row r="329" spans="1:44" s="14" customFormat="1" ht="14.25">
      <c r="A329" s="55" t="s">
        <v>515</v>
      </c>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row>
    <row r="330" spans="1:44" ht="17.25" thickBo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row>
    <row r="331" spans="1:44">
      <c r="A331" s="84" t="s">
        <v>433</v>
      </c>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c r="AN331" s="84"/>
      <c r="AO331" s="84"/>
      <c r="AP331" s="84"/>
      <c r="AQ331" s="42"/>
      <c r="AR331" s="42"/>
    </row>
    <row r="332" spans="1:44" ht="87.75" customHeight="1">
      <c r="A332" s="85" t="s">
        <v>526</v>
      </c>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c r="AN332" s="85"/>
      <c r="AO332" s="85"/>
      <c r="AP332" s="85"/>
      <c r="AQ332" s="44"/>
      <c r="AR332" s="44"/>
    </row>
  </sheetData>
  <mergeCells count="1203">
    <mergeCell ref="A169:AP169"/>
    <mergeCell ref="A200:AP200"/>
    <mergeCell ref="A220:AP220"/>
    <mergeCell ref="A241:AP242"/>
    <mergeCell ref="A295:AP295"/>
    <mergeCell ref="A243:AP243"/>
    <mergeCell ref="A218:AP218"/>
    <mergeCell ref="A51:AP51"/>
    <mergeCell ref="A187:AP187"/>
    <mergeCell ref="G34:M34"/>
    <mergeCell ref="N34:T34"/>
    <mergeCell ref="U34:X34"/>
    <mergeCell ref="AB34:AD34"/>
    <mergeCell ref="AE34:AG34"/>
    <mergeCell ref="AH34:AJ34"/>
    <mergeCell ref="AK34:AM34"/>
    <mergeCell ref="G140:J141"/>
    <mergeCell ref="K140:Q140"/>
    <mergeCell ref="R140:U140"/>
    <mergeCell ref="V140:Y140"/>
    <mergeCell ref="AE140:AI140"/>
    <mergeCell ref="AJ140:AL140"/>
    <mergeCell ref="AM140:AP140"/>
    <mergeCell ref="K141:Q141"/>
    <mergeCell ref="R141:U141"/>
    <mergeCell ref="V141:Y141"/>
    <mergeCell ref="AE141:AI141"/>
    <mergeCell ref="AJ141:AL141"/>
    <mergeCell ref="AM141:AP141"/>
    <mergeCell ref="A35:AP35"/>
    <mergeCell ref="A52:F52"/>
    <mergeCell ref="G52:W52"/>
    <mergeCell ref="A107:AP107"/>
    <mergeCell ref="AH29:AJ29"/>
    <mergeCell ref="AE29:AG29"/>
    <mergeCell ref="AB29:AD29"/>
    <mergeCell ref="AH28:AJ28"/>
    <mergeCell ref="N30:T30"/>
    <mergeCell ref="G30:M30"/>
    <mergeCell ref="U30:X30"/>
    <mergeCell ref="AK30:AM30"/>
    <mergeCell ref="AH30:AJ30"/>
    <mergeCell ref="AE30:AG30"/>
    <mergeCell ref="AB30:AD30"/>
    <mergeCell ref="G33:M33"/>
    <mergeCell ref="N33:T33"/>
    <mergeCell ref="U33:X33"/>
    <mergeCell ref="AB33:AD33"/>
    <mergeCell ref="AE33:AG33"/>
    <mergeCell ref="AH33:AJ33"/>
    <mergeCell ref="AK33:AM33"/>
    <mergeCell ref="G32:M32"/>
    <mergeCell ref="N32:T32"/>
    <mergeCell ref="U32:X32"/>
    <mergeCell ref="Y28:AA28"/>
    <mergeCell ref="AB28:AD28"/>
    <mergeCell ref="AE28:AG28"/>
    <mergeCell ref="AK26:AM28"/>
    <mergeCell ref="Y26:AD27"/>
    <mergeCell ref="AE26:AJ27"/>
    <mergeCell ref="B29:C30"/>
    <mergeCell ref="D29:F29"/>
    <mergeCell ref="Y31:AA31"/>
    <mergeCell ref="AN31:AP31"/>
    <mergeCell ref="A9:F9"/>
    <mergeCell ref="G9:U9"/>
    <mergeCell ref="V9:AA9"/>
    <mergeCell ref="AB9:AP9"/>
    <mergeCell ref="A10:F10"/>
    <mergeCell ref="G10:U10"/>
    <mergeCell ref="V10:AA10"/>
    <mergeCell ref="AB10:AP10"/>
    <mergeCell ref="A13:A34"/>
    <mergeCell ref="B13:Q13"/>
    <mergeCell ref="R13:AP13"/>
    <mergeCell ref="C14:F14"/>
    <mergeCell ref="G14:I15"/>
    <mergeCell ref="J14:M14"/>
    <mergeCell ref="N14:O14"/>
    <mergeCell ref="P14:Q14"/>
    <mergeCell ref="R14:S15"/>
    <mergeCell ref="T14:AA14"/>
    <mergeCell ref="A11:F11"/>
    <mergeCell ref="G11:U11"/>
    <mergeCell ref="V11:AA11"/>
    <mergeCell ref="AB11:AP11"/>
    <mergeCell ref="U26:X28"/>
    <mergeCell ref="N26:T28"/>
    <mergeCell ref="G26:M28"/>
    <mergeCell ref="U29:X29"/>
    <mergeCell ref="N29:T29"/>
    <mergeCell ref="G29:M29"/>
    <mergeCell ref="AK29:AM29"/>
    <mergeCell ref="A12:F12"/>
    <mergeCell ref="G12:U12"/>
    <mergeCell ref="V12:AP12"/>
    <mergeCell ref="A7:F7"/>
    <mergeCell ref="G7:U7"/>
    <mergeCell ref="V7:AA7"/>
    <mergeCell ref="AB7:AP7"/>
    <mergeCell ref="A8:F8"/>
    <mergeCell ref="G8:U8"/>
    <mergeCell ref="V8:AA8"/>
    <mergeCell ref="AB8:AP8"/>
    <mergeCell ref="A3:X3"/>
    <mergeCell ref="AH3:AP3"/>
    <mergeCell ref="A4:AP4"/>
    <mergeCell ref="A5:AP5"/>
    <mergeCell ref="A6:F6"/>
    <mergeCell ref="G6:U6"/>
    <mergeCell ref="V6:AA6"/>
    <mergeCell ref="AB6:AP6"/>
    <mergeCell ref="U1:AR1"/>
    <mergeCell ref="AO15:AP15"/>
    <mergeCell ref="B16:F17"/>
    <mergeCell ref="G16:I17"/>
    <mergeCell ref="J16:M16"/>
    <mergeCell ref="N16:O16"/>
    <mergeCell ref="P16:Q16"/>
    <mergeCell ref="R16:S16"/>
    <mergeCell ref="T16:U16"/>
    <mergeCell ref="V16:W16"/>
    <mergeCell ref="X16:Y16"/>
    <mergeCell ref="Z15:AA15"/>
    <mergeCell ref="AC15:AD15"/>
    <mergeCell ref="AE15:AF15"/>
    <mergeCell ref="AG15:AI15"/>
    <mergeCell ref="AJ15:AL15"/>
    <mergeCell ref="AM15:AN15"/>
    <mergeCell ref="AB14:AL14"/>
    <mergeCell ref="AM14:AP14"/>
    <mergeCell ref="C15:F15"/>
    <mergeCell ref="J15:K15"/>
    <mergeCell ref="L15:M15"/>
    <mergeCell ref="N15:O15"/>
    <mergeCell ref="P15:Q15"/>
    <mergeCell ref="T15:U15"/>
    <mergeCell ref="V15:W15"/>
    <mergeCell ref="X15:Y15"/>
    <mergeCell ref="C18:F18"/>
    <mergeCell ref="G18:I19"/>
    <mergeCell ref="J18:M18"/>
    <mergeCell ref="N18:O18"/>
    <mergeCell ref="P18:Q18"/>
    <mergeCell ref="R18:S18"/>
    <mergeCell ref="AC17:AD17"/>
    <mergeCell ref="AE17:AF17"/>
    <mergeCell ref="AG17:AI17"/>
    <mergeCell ref="AJ17:AL17"/>
    <mergeCell ref="AM17:AN17"/>
    <mergeCell ref="AO17:AP17"/>
    <mergeCell ref="AO16:AP16"/>
    <mergeCell ref="J17:K17"/>
    <mergeCell ref="L17:M17"/>
    <mergeCell ref="N17:O17"/>
    <mergeCell ref="P17:Q17"/>
    <mergeCell ref="R17:S17"/>
    <mergeCell ref="T17:U17"/>
    <mergeCell ref="V17:W17"/>
    <mergeCell ref="X17:Y17"/>
    <mergeCell ref="Z17:AA17"/>
    <mergeCell ref="Z16:AA16"/>
    <mergeCell ref="AC16:AD16"/>
    <mergeCell ref="AE16:AF16"/>
    <mergeCell ref="AG16:AI16"/>
    <mergeCell ref="AJ16:AL16"/>
    <mergeCell ref="AM16:AN16"/>
    <mergeCell ref="AG19:AI19"/>
    <mergeCell ref="AJ19:AL19"/>
    <mergeCell ref="AM19:AN19"/>
    <mergeCell ref="AO19:AP19"/>
    <mergeCell ref="AG23:AI23"/>
    <mergeCell ref="AJ23:AL23"/>
    <mergeCell ref="AM23:AN23"/>
    <mergeCell ref="AO23:AP23"/>
    <mergeCell ref="C20:F20"/>
    <mergeCell ref="G20:I21"/>
    <mergeCell ref="J20:M20"/>
    <mergeCell ref="N20:O20"/>
    <mergeCell ref="P20:Q20"/>
    <mergeCell ref="R20:S20"/>
    <mergeCell ref="T19:U19"/>
    <mergeCell ref="V19:W19"/>
    <mergeCell ref="X19:Y19"/>
    <mergeCell ref="Z19:AA19"/>
    <mergeCell ref="AC19:AD19"/>
    <mergeCell ref="AE19:AF19"/>
    <mergeCell ref="AG18:AI18"/>
    <mergeCell ref="AJ18:AL18"/>
    <mergeCell ref="AM18:AN18"/>
    <mergeCell ref="AO18:AP18"/>
    <mergeCell ref="C19:F19"/>
    <mergeCell ref="J19:K19"/>
    <mergeCell ref="L19:M19"/>
    <mergeCell ref="N19:O19"/>
    <mergeCell ref="P19:Q19"/>
    <mergeCell ref="R19:S19"/>
    <mergeCell ref="T18:U18"/>
    <mergeCell ref="V18:W18"/>
    <mergeCell ref="X18:Y18"/>
    <mergeCell ref="Z18:AA18"/>
    <mergeCell ref="AC18:AD18"/>
    <mergeCell ref="AE18:AF18"/>
    <mergeCell ref="R22:S22"/>
    <mergeCell ref="T21:U21"/>
    <mergeCell ref="V21:W21"/>
    <mergeCell ref="X21:Y21"/>
    <mergeCell ref="Z21:AA21"/>
    <mergeCell ref="AC21:AD21"/>
    <mergeCell ref="AE21:AF21"/>
    <mergeCell ref="AG20:AI20"/>
    <mergeCell ref="AJ20:AL20"/>
    <mergeCell ref="AM20:AN20"/>
    <mergeCell ref="AO20:AP20"/>
    <mergeCell ref="C21:F21"/>
    <mergeCell ref="J21:K21"/>
    <mergeCell ref="L21:M21"/>
    <mergeCell ref="N21:O21"/>
    <mergeCell ref="P21:Q21"/>
    <mergeCell ref="R21:S21"/>
    <mergeCell ref="T20:U20"/>
    <mergeCell ref="V20:W20"/>
    <mergeCell ref="X20:Y20"/>
    <mergeCell ref="Z20:AA20"/>
    <mergeCell ref="AC20:AD20"/>
    <mergeCell ref="AE20:AF20"/>
    <mergeCell ref="AG21:AI21"/>
    <mergeCell ref="AJ21:AL21"/>
    <mergeCell ref="AM21:AN21"/>
    <mergeCell ref="AO21:AP21"/>
    <mergeCell ref="B24:AP24"/>
    <mergeCell ref="B25:C28"/>
    <mergeCell ref="D25:F28"/>
    <mergeCell ref="G25:AM25"/>
    <mergeCell ref="AN25:AP28"/>
    <mergeCell ref="T23:U23"/>
    <mergeCell ref="V23:W23"/>
    <mergeCell ref="X23:Y23"/>
    <mergeCell ref="Z23:AA23"/>
    <mergeCell ref="AC23:AD23"/>
    <mergeCell ref="AE23:AF23"/>
    <mergeCell ref="AG22:AI22"/>
    <mergeCell ref="AJ22:AL22"/>
    <mergeCell ref="AM22:AN22"/>
    <mergeCell ref="AO22:AP22"/>
    <mergeCell ref="C23:F23"/>
    <mergeCell ref="J23:K23"/>
    <mergeCell ref="L23:M23"/>
    <mergeCell ref="N23:O23"/>
    <mergeCell ref="P23:Q23"/>
    <mergeCell ref="R23:S23"/>
    <mergeCell ref="T22:U22"/>
    <mergeCell ref="V22:W22"/>
    <mergeCell ref="X22:Y22"/>
    <mergeCell ref="Z22:AA22"/>
    <mergeCell ref="AC22:AD22"/>
    <mergeCell ref="AE22:AF22"/>
    <mergeCell ref="C22:F22"/>
    <mergeCell ref="G22:I23"/>
    <mergeCell ref="J22:M22"/>
    <mergeCell ref="N22:O22"/>
    <mergeCell ref="P22:Q22"/>
    <mergeCell ref="Y30:AA30"/>
    <mergeCell ref="AN30:AP30"/>
    <mergeCell ref="B31:C32"/>
    <mergeCell ref="D31:F31"/>
    <mergeCell ref="Y29:AA29"/>
    <mergeCell ref="AN29:AP29"/>
    <mergeCell ref="D30:F30"/>
    <mergeCell ref="AB32:AD32"/>
    <mergeCell ref="AE32:AG32"/>
    <mergeCell ref="AH32:AJ32"/>
    <mergeCell ref="AK32:AM32"/>
    <mergeCell ref="Y34:AA34"/>
    <mergeCell ref="AN34:AP34"/>
    <mergeCell ref="Y33:AA33"/>
    <mergeCell ref="AN33:AP33"/>
    <mergeCell ref="D34:F34"/>
    <mergeCell ref="AN32:AP32"/>
    <mergeCell ref="B33:C34"/>
    <mergeCell ref="D33:F33"/>
    <mergeCell ref="D32:F32"/>
    <mergeCell ref="Y32:AA32"/>
    <mergeCell ref="G31:M31"/>
    <mergeCell ref="N31:T31"/>
    <mergeCell ref="U31:X31"/>
    <mergeCell ref="AB31:AD31"/>
    <mergeCell ref="AE31:AG31"/>
    <mergeCell ref="AH31:AJ31"/>
    <mergeCell ref="AK31:AM31"/>
    <mergeCell ref="X52:AA52"/>
    <mergeCell ref="AB52:AH52"/>
    <mergeCell ref="AI52:AL52"/>
    <mergeCell ref="AM52:AP52"/>
    <mergeCell ref="A43:AH43"/>
    <mergeCell ref="A44:AH44"/>
    <mergeCell ref="A45:AP45"/>
    <mergeCell ref="A46:AH46"/>
    <mergeCell ref="A48:AP48"/>
    <mergeCell ref="A49:AP49"/>
    <mergeCell ref="A36:AP36"/>
    <mergeCell ref="A37:AH37"/>
    <mergeCell ref="A39:AP39"/>
    <mergeCell ref="A40:AH40"/>
    <mergeCell ref="A41:AP41"/>
    <mergeCell ref="A42:AP42"/>
    <mergeCell ref="AI53:AL53"/>
    <mergeCell ref="AM53:AP53"/>
    <mergeCell ref="Q54:W54"/>
    <mergeCell ref="X54:AA54"/>
    <mergeCell ref="AB54:AH54"/>
    <mergeCell ref="AI54:AL54"/>
    <mergeCell ref="AM54:AP54"/>
    <mergeCell ref="A53:B57"/>
    <mergeCell ref="C53:F57"/>
    <mergeCell ref="G53:P54"/>
    <mergeCell ref="Q53:W53"/>
    <mergeCell ref="X53:AA53"/>
    <mergeCell ref="AB53:AH53"/>
    <mergeCell ref="G55:P56"/>
    <mergeCell ref="Q55:W55"/>
    <mergeCell ref="X55:AA55"/>
    <mergeCell ref="AB55:AH55"/>
    <mergeCell ref="G57:W57"/>
    <mergeCell ref="X57:AA57"/>
    <mergeCell ref="AB57:AH57"/>
    <mergeCell ref="AI57:AL57"/>
    <mergeCell ref="AM57:AP57"/>
    <mergeCell ref="A58:B78"/>
    <mergeCell ref="C58:F62"/>
    <mergeCell ref="G58:P59"/>
    <mergeCell ref="Q58:W58"/>
    <mergeCell ref="X58:AA58"/>
    <mergeCell ref="AI55:AL55"/>
    <mergeCell ref="AM55:AP55"/>
    <mergeCell ref="Q56:W56"/>
    <mergeCell ref="X56:AA56"/>
    <mergeCell ref="AB56:AH56"/>
    <mergeCell ref="AI56:AL56"/>
    <mergeCell ref="AM56:AP56"/>
    <mergeCell ref="AM61:AP61"/>
    <mergeCell ref="G62:W62"/>
    <mergeCell ref="X62:AA62"/>
    <mergeCell ref="AB62:AH62"/>
    <mergeCell ref="AI62:AL62"/>
    <mergeCell ref="AM62:AP62"/>
    <mergeCell ref="G60:P61"/>
    <mergeCell ref="Q60:W60"/>
    <mergeCell ref="X60:AA60"/>
    <mergeCell ref="AB60:AH60"/>
    <mergeCell ref="AI60:AL60"/>
    <mergeCell ref="AM60:AP60"/>
    <mergeCell ref="Q61:W61"/>
    <mergeCell ref="X61:AA61"/>
    <mergeCell ref="AB61:AH61"/>
    <mergeCell ref="AI61:AL61"/>
    <mergeCell ref="AB58:AH58"/>
    <mergeCell ref="AI58:AL58"/>
    <mergeCell ref="AM58:AP58"/>
    <mergeCell ref="Q59:W59"/>
    <mergeCell ref="X59:AA59"/>
    <mergeCell ref="AB59:AH59"/>
    <mergeCell ref="AI59:AL59"/>
    <mergeCell ref="AM59:AP59"/>
    <mergeCell ref="AM63:AP63"/>
    <mergeCell ref="Q64:W64"/>
    <mergeCell ref="AB64:AH64"/>
    <mergeCell ref="AM64:AP64"/>
    <mergeCell ref="G65:H73"/>
    <mergeCell ref="I65:P67"/>
    <mergeCell ref="Q65:W65"/>
    <mergeCell ref="X65:AA73"/>
    <mergeCell ref="AB65:AH65"/>
    <mergeCell ref="AI65:AL73"/>
    <mergeCell ref="C63:F74"/>
    <mergeCell ref="G63:P64"/>
    <mergeCell ref="Q63:W63"/>
    <mergeCell ref="X63:AA64"/>
    <mergeCell ref="AB63:AH63"/>
    <mergeCell ref="AI63:AL64"/>
    <mergeCell ref="I68:P69"/>
    <mergeCell ref="Q68:W68"/>
    <mergeCell ref="AB68:AH68"/>
    <mergeCell ref="AB71:AH71"/>
    <mergeCell ref="AM68:AP68"/>
    <mergeCell ref="Q69:W69"/>
    <mergeCell ref="AB69:AH69"/>
    <mergeCell ref="AM69:AP69"/>
    <mergeCell ref="I70:P73"/>
    <mergeCell ref="Q70:S72"/>
    <mergeCell ref="T70:W70"/>
    <mergeCell ref="AB70:AH70"/>
    <mergeCell ref="AM70:AP70"/>
    <mergeCell ref="T71:W71"/>
    <mergeCell ref="AM65:AP65"/>
    <mergeCell ref="Q66:W66"/>
    <mergeCell ref="AB66:AH66"/>
    <mergeCell ref="AM66:AP66"/>
    <mergeCell ref="Q67:W67"/>
    <mergeCell ref="AB67:AH67"/>
    <mergeCell ref="AM67:AP67"/>
    <mergeCell ref="G74:W74"/>
    <mergeCell ref="X74:AA74"/>
    <mergeCell ref="AB74:AH74"/>
    <mergeCell ref="AI74:AL74"/>
    <mergeCell ref="AM74:AP74"/>
    <mergeCell ref="C75:F78"/>
    <mergeCell ref="G75:W75"/>
    <mergeCell ref="X75:AA75"/>
    <mergeCell ref="AB75:AH75"/>
    <mergeCell ref="AI75:AL77"/>
    <mergeCell ref="AM71:AP71"/>
    <mergeCell ref="T72:W72"/>
    <mergeCell ref="AB72:AH72"/>
    <mergeCell ref="AM72:AP72"/>
    <mergeCell ref="Q73:S73"/>
    <mergeCell ref="T73:W73"/>
    <mergeCell ref="AB73:AH73"/>
    <mergeCell ref="AM73:AP73"/>
    <mergeCell ref="G78:W78"/>
    <mergeCell ref="X78:AA78"/>
    <mergeCell ref="AB78:AH78"/>
    <mergeCell ref="AI78:AL78"/>
    <mergeCell ref="AM78:AP78"/>
    <mergeCell ref="A79:B105"/>
    <mergeCell ref="C79:W79"/>
    <mergeCell ref="X79:AA79"/>
    <mergeCell ref="AB79:AH79"/>
    <mergeCell ref="AI79:AL79"/>
    <mergeCell ref="AM75:AP75"/>
    <mergeCell ref="G76:W76"/>
    <mergeCell ref="X76:AA76"/>
    <mergeCell ref="AB76:AH76"/>
    <mergeCell ref="AM76:AP76"/>
    <mergeCell ref="G77:W77"/>
    <mergeCell ref="X77:AA77"/>
    <mergeCell ref="AB77:AH77"/>
    <mergeCell ref="AM77:AP77"/>
    <mergeCell ref="AM82:AP82"/>
    <mergeCell ref="G83:W83"/>
    <mergeCell ref="X83:AA83"/>
    <mergeCell ref="AB83:AH83"/>
    <mergeCell ref="AI83:AL83"/>
    <mergeCell ref="AM83:AP83"/>
    <mergeCell ref="C81:F84"/>
    <mergeCell ref="G81:W81"/>
    <mergeCell ref="X81:AA81"/>
    <mergeCell ref="AB81:AH81"/>
    <mergeCell ref="AI81:AL81"/>
    <mergeCell ref="AM81:AP81"/>
    <mergeCell ref="G82:W82"/>
    <mergeCell ref="X82:AA82"/>
    <mergeCell ref="AB82:AH82"/>
    <mergeCell ref="AI82:AL82"/>
    <mergeCell ref="AM79:AP79"/>
    <mergeCell ref="C80:W80"/>
    <mergeCell ref="X80:AA80"/>
    <mergeCell ref="AB80:AH80"/>
    <mergeCell ref="AI80:AL80"/>
    <mergeCell ref="AM80:AP80"/>
    <mergeCell ref="AI85:AL87"/>
    <mergeCell ref="AM85:AP85"/>
    <mergeCell ref="U86:W86"/>
    <mergeCell ref="AB86:AH86"/>
    <mergeCell ref="AM86:AP86"/>
    <mergeCell ref="U87:W87"/>
    <mergeCell ref="AB87:AH87"/>
    <mergeCell ref="AM87:AP87"/>
    <mergeCell ref="G84:W84"/>
    <mergeCell ref="X84:AA84"/>
    <mergeCell ref="AB84:AH84"/>
    <mergeCell ref="AI84:AL84"/>
    <mergeCell ref="AM84:AP84"/>
    <mergeCell ref="C85:F94"/>
    <mergeCell ref="G85:T87"/>
    <mergeCell ref="U85:W85"/>
    <mergeCell ref="X85:AA87"/>
    <mergeCell ref="AB85:AH85"/>
    <mergeCell ref="AM92:AP92"/>
    <mergeCell ref="U93:W93"/>
    <mergeCell ref="AB93:AH93"/>
    <mergeCell ref="AM93:AP93"/>
    <mergeCell ref="G94:W94"/>
    <mergeCell ref="X94:AA94"/>
    <mergeCell ref="AB94:AH94"/>
    <mergeCell ref="AI94:AL94"/>
    <mergeCell ref="AM94:AP94"/>
    <mergeCell ref="AB90:AH90"/>
    <mergeCell ref="AM90:AP90"/>
    <mergeCell ref="G91:T93"/>
    <mergeCell ref="U91:W91"/>
    <mergeCell ref="X91:AA93"/>
    <mergeCell ref="AB91:AH91"/>
    <mergeCell ref="AI91:AL93"/>
    <mergeCell ref="AM91:AP91"/>
    <mergeCell ref="U92:W92"/>
    <mergeCell ref="AB92:AH92"/>
    <mergeCell ref="G88:T90"/>
    <mergeCell ref="U88:W88"/>
    <mergeCell ref="X88:AA90"/>
    <mergeCell ref="AB88:AH88"/>
    <mergeCell ref="AI88:AL90"/>
    <mergeCell ref="AM88:AP88"/>
    <mergeCell ref="U89:W89"/>
    <mergeCell ref="AB89:AH89"/>
    <mergeCell ref="AM89:AP89"/>
    <mergeCell ref="U90:W90"/>
    <mergeCell ref="G98:W98"/>
    <mergeCell ref="X98:AA98"/>
    <mergeCell ref="AB98:AH98"/>
    <mergeCell ref="AI98:AL98"/>
    <mergeCell ref="AM98:AP98"/>
    <mergeCell ref="G99:W99"/>
    <mergeCell ref="X99:AA99"/>
    <mergeCell ref="AB99:AH99"/>
    <mergeCell ref="AI99:AL99"/>
    <mergeCell ref="AM99:AP99"/>
    <mergeCell ref="AM96:AP96"/>
    <mergeCell ref="G97:W97"/>
    <mergeCell ref="X97:AA97"/>
    <mergeCell ref="AB97:AH97"/>
    <mergeCell ref="AI97:AL97"/>
    <mergeCell ref="AM97:AP97"/>
    <mergeCell ref="C95:F101"/>
    <mergeCell ref="G95:W95"/>
    <mergeCell ref="X95:AA95"/>
    <mergeCell ref="AB95:AH95"/>
    <mergeCell ref="AI95:AL95"/>
    <mergeCell ref="AM95:AP95"/>
    <mergeCell ref="G96:W96"/>
    <mergeCell ref="X96:AA96"/>
    <mergeCell ref="AB96:AH96"/>
    <mergeCell ref="AI96:AL96"/>
    <mergeCell ref="G101:W101"/>
    <mergeCell ref="X101:AA101"/>
    <mergeCell ref="AB101:AH101"/>
    <mergeCell ref="AI101:AL101"/>
    <mergeCell ref="AM101:AP101"/>
    <mergeCell ref="G100:W100"/>
    <mergeCell ref="X100:AA100"/>
    <mergeCell ref="AB100:AH100"/>
    <mergeCell ref="AI100:AL100"/>
    <mergeCell ref="AM100:AP100"/>
    <mergeCell ref="C104:W104"/>
    <mergeCell ref="X104:AA104"/>
    <mergeCell ref="AB104:AH104"/>
    <mergeCell ref="AI104:AL104"/>
    <mergeCell ref="AM104:AP104"/>
    <mergeCell ref="C105:W105"/>
    <mergeCell ref="X105:AA105"/>
    <mergeCell ref="AB105:AH105"/>
    <mergeCell ref="AI105:AL105"/>
    <mergeCell ref="AM105:AP105"/>
    <mergeCell ref="C102:W102"/>
    <mergeCell ref="X102:AA102"/>
    <mergeCell ref="AB102:AH102"/>
    <mergeCell ref="AI102:AL102"/>
    <mergeCell ref="AM102:AP102"/>
    <mergeCell ref="C103:W103"/>
    <mergeCell ref="X103:AA103"/>
    <mergeCell ref="AB103:AH103"/>
    <mergeCell ref="AI103:AL103"/>
    <mergeCell ref="AM103:AP103"/>
    <mergeCell ref="S110:W110"/>
    <mergeCell ref="X110:AD110"/>
    <mergeCell ref="AE110:AP110"/>
    <mergeCell ref="E111:R111"/>
    <mergeCell ref="S111:W111"/>
    <mergeCell ref="X111:AD111"/>
    <mergeCell ref="AE111:AL111"/>
    <mergeCell ref="AM111:AP111"/>
    <mergeCell ref="A108:B108"/>
    <mergeCell ref="C108:R108"/>
    <mergeCell ref="S108:AP108"/>
    <mergeCell ref="A109:A154"/>
    <mergeCell ref="B109:B116"/>
    <mergeCell ref="C109:D112"/>
    <mergeCell ref="E109:AP109"/>
    <mergeCell ref="E110:R110"/>
    <mergeCell ref="C114:R114"/>
    <mergeCell ref="S114:W114"/>
    <mergeCell ref="X114:AD114"/>
    <mergeCell ref="AE114:AL114"/>
    <mergeCell ref="AM114:AP114"/>
    <mergeCell ref="C115:R115"/>
    <mergeCell ref="S115:W115"/>
    <mergeCell ref="X115:AD115"/>
    <mergeCell ref="AE115:AL115"/>
    <mergeCell ref="AM115:AP115"/>
    <mergeCell ref="E112:R112"/>
    <mergeCell ref="S112:W112"/>
    <mergeCell ref="X112:AD112"/>
    <mergeCell ref="AE112:AL112"/>
    <mergeCell ref="AM112:AP112"/>
    <mergeCell ref="C113:R113"/>
    <mergeCell ref="S113:W113"/>
    <mergeCell ref="X113:AD113"/>
    <mergeCell ref="AE113:AL113"/>
    <mergeCell ref="AM113:AP113"/>
    <mergeCell ref="AJ117:AL117"/>
    <mergeCell ref="AM117:AP117"/>
    <mergeCell ref="C118:D122"/>
    <mergeCell ref="E118:Q118"/>
    <mergeCell ref="R118:U118"/>
    <mergeCell ref="V118:Y118"/>
    <mergeCell ref="Z118:AD121"/>
    <mergeCell ref="AE118:AI118"/>
    <mergeCell ref="AJ118:AL121"/>
    <mergeCell ref="AM118:AP118"/>
    <mergeCell ref="C116:R116"/>
    <mergeCell ref="S116:W116"/>
    <mergeCell ref="X116:AD116"/>
    <mergeCell ref="AE116:AL116"/>
    <mergeCell ref="AM116:AP116"/>
    <mergeCell ref="E119:Q119"/>
    <mergeCell ref="R119:U119"/>
    <mergeCell ref="V119:Y119"/>
    <mergeCell ref="AE119:AI119"/>
    <mergeCell ref="AM119:AP119"/>
    <mergeCell ref="E120:Q120"/>
    <mergeCell ref="R120:U120"/>
    <mergeCell ref="V120:Y120"/>
    <mergeCell ref="AE120:AI120"/>
    <mergeCell ref="AM120:AP120"/>
    <mergeCell ref="AM123:AP123"/>
    <mergeCell ref="G124:Q124"/>
    <mergeCell ref="R124:U124"/>
    <mergeCell ref="V124:Y124"/>
    <mergeCell ref="Z124:AD124"/>
    <mergeCell ref="AE124:AI124"/>
    <mergeCell ref="AJ124:AL124"/>
    <mergeCell ref="AM124:AP124"/>
    <mergeCell ref="AJ122:AL122"/>
    <mergeCell ref="AM122:AP122"/>
    <mergeCell ref="C123:D146"/>
    <mergeCell ref="E123:F125"/>
    <mergeCell ref="G123:Q123"/>
    <mergeCell ref="R123:U123"/>
    <mergeCell ref="V123:Y123"/>
    <mergeCell ref="Z123:AD123"/>
    <mergeCell ref="AE123:AI123"/>
    <mergeCell ref="AJ123:AL123"/>
    <mergeCell ref="R127:U127"/>
    <mergeCell ref="V127:Y127"/>
    <mergeCell ref="AE127:AI127"/>
    <mergeCell ref="AJ127:AL127"/>
    <mergeCell ref="AM127:AP127"/>
    <mergeCell ref="G128:Q128"/>
    <mergeCell ref="R128:U128"/>
    <mergeCell ref="V128:Y128"/>
    <mergeCell ref="AE128:AI128"/>
    <mergeCell ref="AJ128:AL128"/>
    <mergeCell ref="AM125:AP125"/>
    <mergeCell ref="E126:F131"/>
    <mergeCell ref="G126:Q126"/>
    <mergeCell ref="R126:U126"/>
    <mergeCell ref="V126:Y126"/>
    <mergeCell ref="Z126:AD129"/>
    <mergeCell ref="AE126:AI126"/>
    <mergeCell ref="AJ126:AL126"/>
    <mergeCell ref="AM126:AP126"/>
    <mergeCell ref="G127:Q127"/>
    <mergeCell ref="G125:Q125"/>
    <mergeCell ref="R125:U125"/>
    <mergeCell ref="V125:Y125"/>
    <mergeCell ref="Z125:AD125"/>
    <mergeCell ref="AE125:AI125"/>
    <mergeCell ref="AJ125:AL125"/>
    <mergeCell ref="AM130:AP130"/>
    <mergeCell ref="G131:Q131"/>
    <mergeCell ref="R131:U131"/>
    <mergeCell ref="V131:Y131"/>
    <mergeCell ref="Z131:AD131"/>
    <mergeCell ref="AE131:AI131"/>
    <mergeCell ref="AJ131:AL131"/>
    <mergeCell ref="AM131:AP131"/>
    <mergeCell ref="G130:Q130"/>
    <mergeCell ref="R130:U130"/>
    <mergeCell ref="V130:Y130"/>
    <mergeCell ref="Z130:AD130"/>
    <mergeCell ref="AE130:AI130"/>
    <mergeCell ref="AJ130:AL130"/>
    <mergeCell ref="AM128:AP128"/>
    <mergeCell ref="G129:Q129"/>
    <mergeCell ref="R129:U129"/>
    <mergeCell ref="V129:Y129"/>
    <mergeCell ref="AE129:AI129"/>
    <mergeCell ref="AJ129:AL129"/>
    <mergeCell ref="AM129:AP129"/>
    <mergeCell ref="AM134:AP134"/>
    <mergeCell ref="G135:Q135"/>
    <mergeCell ref="R135:U135"/>
    <mergeCell ref="V135:Y135"/>
    <mergeCell ref="Z135:AD135"/>
    <mergeCell ref="AE135:AI135"/>
    <mergeCell ref="AM135:AP135"/>
    <mergeCell ref="AJ132:AL136"/>
    <mergeCell ref="AM132:AP132"/>
    <mergeCell ref="G133:Q133"/>
    <mergeCell ref="R133:U133"/>
    <mergeCell ref="V133:Y133"/>
    <mergeCell ref="Z133:AD133"/>
    <mergeCell ref="AE133:AI133"/>
    <mergeCell ref="AM133:AP133"/>
    <mergeCell ref="G134:Q134"/>
    <mergeCell ref="R134:U134"/>
    <mergeCell ref="G132:Q132"/>
    <mergeCell ref="R132:U132"/>
    <mergeCell ref="V132:Y132"/>
    <mergeCell ref="Z132:AD132"/>
    <mergeCell ref="AE132:AI132"/>
    <mergeCell ref="V134:Y134"/>
    <mergeCell ref="Z134:AD134"/>
    <mergeCell ref="AE134:AI134"/>
    <mergeCell ref="G136:Q136"/>
    <mergeCell ref="AJ137:AL137"/>
    <mergeCell ref="AM137:AP137"/>
    <mergeCell ref="E138:F146"/>
    <mergeCell ref="G138:J139"/>
    <mergeCell ref="K138:Q138"/>
    <mergeCell ref="R138:U138"/>
    <mergeCell ref="V138:Y138"/>
    <mergeCell ref="Z138:AD145"/>
    <mergeCell ref="AE138:AI138"/>
    <mergeCell ref="AJ138:AL138"/>
    <mergeCell ref="R136:U136"/>
    <mergeCell ref="V136:Y136"/>
    <mergeCell ref="Z136:AD136"/>
    <mergeCell ref="AE136:AI136"/>
    <mergeCell ref="AM136:AP136"/>
    <mergeCell ref="G137:Q137"/>
    <mergeCell ref="R137:U137"/>
    <mergeCell ref="V137:Y137"/>
    <mergeCell ref="Z137:AD137"/>
    <mergeCell ref="AE137:AI137"/>
    <mergeCell ref="E132:F137"/>
    <mergeCell ref="AM143:AP143"/>
    <mergeCell ref="G144:Q144"/>
    <mergeCell ref="R144:U144"/>
    <mergeCell ref="V144:Y144"/>
    <mergeCell ref="AE144:AI144"/>
    <mergeCell ref="AM144:AP144"/>
    <mergeCell ref="G142:Q142"/>
    <mergeCell ref="R142:U142"/>
    <mergeCell ref="V142:Y142"/>
    <mergeCell ref="AE142:AI142"/>
    <mergeCell ref="AJ142:AL146"/>
    <mergeCell ref="AM142:AP142"/>
    <mergeCell ref="G143:Q143"/>
    <mergeCell ref="R143:U143"/>
    <mergeCell ref="V143:Y143"/>
    <mergeCell ref="AE143:AI143"/>
    <mergeCell ref="AM138:AP138"/>
    <mergeCell ref="K139:Q139"/>
    <mergeCell ref="R139:U139"/>
    <mergeCell ref="V139:Y139"/>
    <mergeCell ref="AE139:AI139"/>
    <mergeCell ref="AJ139:AL139"/>
    <mergeCell ref="AM139:AP139"/>
    <mergeCell ref="C147:Q152"/>
    <mergeCell ref="R147:U147"/>
    <mergeCell ref="V147:Y147"/>
    <mergeCell ref="Z147:AI147"/>
    <mergeCell ref="AJ147:AP147"/>
    <mergeCell ref="R148:U148"/>
    <mergeCell ref="V148:Y148"/>
    <mergeCell ref="Z148:AI148"/>
    <mergeCell ref="AJ148:AP148"/>
    <mergeCell ref="G145:Q145"/>
    <mergeCell ref="R145:U145"/>
    <mergeCell ref="V145:Y145"/>
    <mergeCell ref="AE145:AI145"/>
    <mergeCell ref="AM145:AP145"/>
    <mergeCell ref="G146:Q146"/>
    <mergeCell ref="R146:U146"/>
    <mergeCell ref="V146:Y146"/>
    <mergeCell ref="Z146:AD146"/>
    <mergeCell ref="AE146:AI146"/>
    <mergeCell ref="R151:U151"/>
    <mergeCell ref="V151:Y151"/>
    <mergeCell ref="Z151:AI151"/>
    <mergeCell ref="AJ151:AP151"/>
    <mergeCell ref="R152:U152"/>
    <mergeCell ref="V152:Y152"/>
    <mergeCell ref="Z152:AI152"/>
    <mergeCell ref="AJ152:AP152"/>
    <mergeCell ref="R149:U149"/>
    <mergeCell ref="V149:Y149"/>
    <mergeCell ref="Z149:AI149"/>
    <mergeCell ref="AJ149:AP149"/>
    <mergeCell ref="R150:U150"/>
    <mergeCell ref="V150:Y150"/>
    <mergeCell ref="Z150:AI150"/>
    <mergeCell ref="AJ150:AP150"/>
    <mergeCell ref="AM146:AP146"/>
    <mergeCell ref="A155:AP155"/>
    <mergeCell ref="B117:B154"/>
    <mergeCell ref="C117:Q117"/>
    <mergeCell ref="R117:Y117"/>
    <mergeCell ref="Z117:AD117"/>
    <mergeCell ref="AE117:AI117"/>
    <mergeCell ref="E121:Q121"/>
    <mergeCell ref="R121:U121"/>
    <mergeCell ref="V121:Y121"/>
    <mergeCell ref="AE121:AI121"/>
    <mergeCell ref="AM121:AP121"/>
    <mergeCell ref="E122:Q122"/>
    <mergeCell ref="R122:U122"/>
    <mergeCell ref="V122:Y122"/>
    <mergeCell ref="Z122:AD122"/>
    <mergeCell ref="AE122:AI122"/>
    <mergeCell ref="S156:W156"/>
    <mergeCell ref="X156:AH156"/>
    <mergeCell ref="AI156:AP156"/>
    <mergeCell ref="A157:AP157"/>
    <mergeCell ref="AH158:AP158"/>
    <mergeCell ref="C153:Q153"/>
    <mergeCell ref="R153:U153"/>
    <mergeCell ref="V153:Y153"/>
    <mergeCell ref="Z153:AI153"/>
    <mergeCell ref="AJ153:AP153"/>
    <mergeCell ref="C154:Q154"/>
    <mergeCell ref="R154:U154"/>
    <mergeCell ref="V154:Y154"/>
    <mergeCell ref="Z154:AI154"/>
    <mergeCell ref="AJ154:AP154"/>
    <mergeCell ref="A164:AP164"/>
    <mergeCell ref="A158:AG158"/>
    <mergeCell ref="A165:AP165"/>
    <mergeCell ref="A166:AP166"/>
    <mergeCell ref="A167:AP167"/>
    <mergeCell ref="A161:T161"/>
    <mergeCell ref="U161:AP161"/>
    <mergeCell ref="A162:T162"/>
    <mergeCell ref="U162:AP162"/>
    <mergeCell ref="A163:J163"/>
    <mergeCell ref="K163:AP163"/>
    <mergeCell ref="A159:E160"/>
    <mergeCell ref="F159:L159"/>
    <mergeCell ref="M159:T159"/>
    <mergeCell ref="U159:Y159"/>
    <mergeCell ref="AH159:AP160"/>
    <mergeCell ref="F160:L160"/>
    <mergeCell ref="M160:T160"/>
    <mergeCell ref="U160:Y160"/>
    <mergeCell ref="Z160:AG160"/>
    <mergeCell ref="Z159:AG159"/>
    <mergeCell ref="A176:E176"/>
    <mergeCell ref="F176:AP176"/>
    <mergeCell ref="A177:AP177"/>
    <mergeCell ref="A178:E178"/>
    <mergeCell ref="F178:AP178"/>
    <mergeCell ref="A179:E179"/>
    <mergeCell ref="F179:AP179"/>
    <mergeCell ref="A170:AP170"/>
    <mergeCell ref="A171:AP171"/>
    <mergeCell ref="A172:AP172"/>
    <mergeCell ref="A173:B175"/>
    <mergeCell ref="C173:E173"/>
    <mergeCell ref="F173:AP173"/>
    <mergeCell ref="C174:E174"/>
    <mergeCell ref="F174:AP174"/>
    <mergeCell ref="C175:E175"/>
    <mergeCell ref="F175:AP175"/>
    <mergeCell ref="X191:AO191"/>
    <mergeCell ref="F192:W192"/>
    <mergeCell ref="X192:AO192"/>
    <mergeCell ref="F194:W194"/>
    <mergeCell ref="X194:AO194"/>
    <mergeCell ref="E195:AP195"/>
    <mergeCell ref="A214:C214"/>
    <mergeCell ref="D214:AP214"/>
    <mergeCell ref="K183:Q184"/>
    <mergeCell ref="R183:AP184"/>
    <mergeCell ref="A185:C185"/>
    <mergeCell ref="A189:D195"/>
    <mergeCell ref="E189:AP189"/>
    <mergeCell ref="F190:W190"/>
    <mergeCell ref="X190:AO190"/>
    <mergeCell ref="F191:W191"/>
    <mergeCell ref="A180:E180"/>
    <mergeCell ref="F180:AP180"/>
    <mergeCell ref="A181:C184"/>
    <mergeCell ref="D181:E181"/>
    <mergeCell ref="F181:AP181"/>
    <mergeCell ref="D182:E184"/>
    <mergeCell ref="F182:J182"/>
    <mergeCell ref="K182:Q182"/>
    <mergeCell ref="R182:AP182"/>
    <mergeCell ref="F183:J184"/>
    <mergeCell ref="F193:W193"/>
    <mergeCell ref="X193:AO193"/>
    <mergeCell ref="D185:AP185"/>
    <mergeCell ref="A207:AP207"/>
    <mergeCell ref="A208:C208"/>
    <mergeCell ref="D208:AP208"/>
    <mergeCell ref="A209:C209"/>
    <mergeCell ref="D209:AP209"/>
    <mergeCell ref="A210:C210"/>
    <mergeCell ref="D210:AP210"/>
    <mergeCell ref="A226:E226"/>
    <mergeCell ref="F226:AP226"/>
    <mergeCell ref="A203:D203"/>
    <mergeCell ref="E203:AP203"/>
    <mergeCell ref="A204:D204"/>
    <mergeCell ref="E204:AP204"/>
    <mergeCell ref="A205:D205"/>
    <mergeCell ref="E205:AP205"/>
    <mergeCell ref="A196:D196"/>
    <mergeCell ref="E196:AP196"/>
    <mergeCell ref="A201:AP201"/>
    <mergeCell ref="A202:AP202"/>
    <mergeCell ref="A223:E223"/>
    <mergeCell ref="F223:AP223"/>
    <mergeCell ref="A224:E224"/>
    <mergeCell ref="F224:AP224"/>
    <mergeCell ref="A225:E225"/>
    <mergeCell ref="F225:AP225"/>
    <mergeCell ref="A219:AP219"/>
    <mergeCell ref="A221:E221"/>
    <mergeCell ref="F221:AP221"/>
    <mergeCell ref="A222:E222"/>
    <mergeCell ref="F222:AP222"/>
    <mergeCell ref="F236:AP236"/>
    <mergeCell ref="C237:E237"/>
    <mergeCell ref="F237:AP237"/>
    <mergeCell ref="A215:AP215"/>
    <mergeCell ref="A216:AP216"/>
    <mergeCell ref="A211:C211"/>
    <mergeCell ref="D211:AP211"/>
    <mergeCell ref="A212:C212"/>
    <mergeCell ref="D212:AP212"/>
    <mergeCell ref="A213:C213"/>
    <mergeCell ref="D213:AP213"/>
    <mergeCell ref="A232:E232"/>
    <mergeCell ref="F232:AP232"/>
    <mergeCell ref="A233:E233"/>
    <mergeCell ref="F233:AP233"/>
    <mergeCell ref="A234:B237"/>
    <mergeCell ref="C234:E234"/>
    <mergeCell ref="F234:AP234"/>
    <mergeCell ref="C235:E235"/>
    <mergeCell ref="F235:AP235"/>
    <mergeCell ref="C236:E236"/>
    <mergeCell ref="A229:E229"/>
    <mergeCell ref="F229:AP229"/>
    <mergeCell ref="A230:E230"/>
    <mergeCell ref="F230:AP230"/>
    <mergeCell ref="A231:E231"/>
    <mergeCell ref="F231:AP231"/>
    <mergeCell ref="A227:E227"/>
    <mergeCell ref="F227:AP227"/>
    <mergeCell ref="A228:E228"/>
    <mergeCell ref="F228:AP228"/>
    <mergeCell ref="K246:W246"/>
    <mergeCell ref="X246:AE246"/>
    <mergeCell ref="AF246:AP246"/>
    <mergeCell ref="E247:J247"/>
    <mergeCell ref="K247:AE247"/>
    <mergeCell ref="AF247:AP247"/>
    <mergeCell ref="A240:AP240"/>
    <mergeCell ref="A244:AP244"/>
    <mergeCell ref="A245:D248"/>
    <mergeCell ref="E245:J245"/>
    <mergeCell ref="K245:W245"/>
    <mergeCell ref="X245:AE245"/>
    <mergeCell ref="AF245:AP245"/>
    <mergeCell ref="E246:J246"/>
    <mergeCell ref="A238:E238"/>
    <mergeCell ref="F238:AP238"/>
    <mergeCell ref="A239:AP239"/>
    <mergeCell ref="A254:E254"/>
    <mergeCell ref="F254:L254"/>
    <mergeCell ref="M254:W254"/>
    <mergeCell ref="X254:AF254"/>
    <mergeCell ref="AG254:AP254"/>
    <mergeCell ref="A255:E255"/>
    <mergeCell ref="F255:L255"/>
    <mergeCell ref="M255:W255"/>
    <mergeCell ref="X255:AF255"/>
    <mergeCell ref="AG255:AP255"/>
    <mergeCell ref="E248:J248"/>
    <mergeCell ref="K248:AE248"/>
    <mergeCell ref="AF248:AP248"/>
    <mergeCell ref="A253:E253"/>
    <mergeCell ref="F253:L253"/>
    <mergeCell ref="M253:W253"/>
    <mergeCell ref="X253:AF253"/>
    <mergeCell ref="AG253:AP253"/>
    <mergeCell ref="A261:E261"/>
    <mergeCell ref="F261:L261"/>
    <mergeCell ref="M261:W261"/>
    <mergeCell ref="X261:AF261"/>
    <mergeCell ref="AG261:AP261"/>
    <mergeCell ref="A265:E265"/>
    <mergeCell ref="F265:L265"/>
    <mergeCell ref="M265:W265"/>
    <mergeCell ref="X265:AF265"/>
    <mergeCell ref="AG265:AP265"/>
    <mergeCell ref="A259:E259"/>
    <mergeCell ref="F259:L259"/>
    <mergeCell ref="M259:W259"/>
    <mergeCell ref="X259:AF259"/>
    <mergeCell ref="AG259:AP259"/>
    <mergeCell ref="A260:E260"/>
    <mergeCell ref="F260:L260"/>
    <mergeCell ref="M260:W260"/>
    <mergeCell ref="X260:AF260"/>
    <mergeCell ref="AG260:AP260"/>
    <mergeCell ref="A271:E271"/>
    <mergeCell ref="F271:L271"/>
    <mergeCell ref="M271:W271"/>
    <mergeCell ref="X271:AF271"/>
    <mergeCell ref="AG271:AP271"/>
    <mergeCell ref="A272:E272"/>
    <mergeCell ref="F272:L272"/>
    <mergeCell ref="M272:W272"/>
    <mergeCell ref="X272:AF272"/>
    <mergeCell ref="AG272:AP272"/>
    <mergeCell ref="A266:E266"/>
    <mergeCell ref="F266:L266"/>
    <mergeCell ref="M266:W266"/>
    <mergeCell ref="X266:AF266"/>
    <mergeCell ref="AG266:AP266"/>
    <mergeCell ref="A267:E267"/>
    <mergeCell ref="F267:L267"/>
    <mergeCell ref="M267:W267"/>
    <mergeCell ref="X267:AF267"/>
    <mergeCell ref="AG267:AP267"/>
    <mergeCell ref="A278:G278"/>
    <mergeCell ref="H278:V278"/>
    <mergeCell ref="W278:AD278"/>
    <mergeCell ref="AE278:AP278"/>
    <mergeCell ref="A279:G279"/>
    <mergeCell ref="H279:V279"/>
    <mergeCell ref="W279:AD279"/>
    <mergeCell ref="AE279:AP279"/>
    <mergeCell ref="A273:E273"/>
    <mergeCell ref="F273:L273"/>
    <mergeCell ref="M273:W273"/>
    <mergeCell ref="X273:AF273"/>
    <mergeCell ref="AG273:AP273"/>
    <mergeCell ref="A277:G277"/>
    <mergeCell ref="H277:V277"/>
    <mergeCell ref="W277:AD277"/>
    <mergeCell ref="AE277:AP277"/>
    <mergeCell ref="A285:D285"/>
    <mergeCell ref="E285:J285"/>
    <mergeCell ref="K285:U285"/>
    <mergeCell ref="V285:AH285"/>
    <mergeCell ref="AI285:AP285"/>
    <mergeCell ref="A289:D289"/>
    <mergeCell ref="E289:J289"/>
    <mergeCell ref="K289:U289"/>
    <mergeCell ref="V289:AD289"/>
    <mergeCell ref="AE289:AJ289"/>
    <mergeCell ref="A283:D283"/>
    <mergeCell ref="E283:J283"/>
    <mergeCell ref="K283:U283"/>
    <mergeCell ref="V283:AH283"/>
    <mergeCell ref="AI283:AP283"/>
    <mergeCell ref="A284:D284"/>
    <mergeCell ref="E284:J284"/>
    <mergeCell ref="K284:U284"/>
    <mergeCell ref="V284:AH284"/>
    <mergeCell ref="AI284:AP284"/>
    <mergeCell ref="A292:AP292"/>
    <mergeCell ref="A293:AP293"/>
    <mergeCell ref="A296:AP296"/>
    <mergeCell ref="A297:AP297"/>
    <mergeCell ref="A298:D301"/>
    <mergeCell ref="E298:J298"/>
    <mergeCell ref="K298:V298"/>
    <mergeCell ref="W298:AD298"/>
    <mergeCell ref="AE298:AP298"/>
    <mergeCell ref="AM304:AP306"/>
    <mergeCell ref="A291:D291"/>
    <mergeCell ref="E291:J291"/>
    <mergeCell ref="K291:U291"/>
    <mergeCell ref="V291:AD291"/>
    <mergeCell ref="AE291:AJ291"/>
    <mergeCell ref="AK291:AP291"/>
    <mergeCell ref="AK289:AP289"/>
    <mergeCell ref="A290:D290"/>
    <mergeCell ref="E290:J290"/>
    <mergeCell ref="K290:U290"/>
    <mergeCell ref="V290:AD290"/>
    <mergeCell ref="AE290:AJ290"/>
    <mergeCell ref="AK290:AP290"/>
    <mergeCell ref="E301:J301"/>
    <mergeCell ref="K301:AE301"/>
    <mergeCell ref="AF301:AP301"/>
    <mergeCell ref="A304:C306"/>
    <mergeCell ref="D304:G306"/>
    <mergeCell ref="H304:J306"/>
    <mergeCell ref="K304:O306"/>
    <mergeCell ref="P304:Y306"/>
    <mergeCell ref="AH304:AL306"/>
    <mergeCell ref="Z304:AG304"/>
    <mergeCell ref="AD305:AG306"/>
    <mergeCell ref="Z305:AC306"/>
    <mergeCell ref="E299:J299"/>
    <mergeCell ref="K299:V299"/>
    <mergeCell ref="W299:AD299"/>
    <mergeCell ref="AE299:AP299"/>
    <mergeCell ref="E300:J300"/>
    <mergeCell ref="K300:AE300"/>
    <mergeCell ref="AF300:AP300"/>
    <mergeCell ref="AM308:AP308"/>
    <mergeCell ref="A309:C309"/>
    <mergeCell ref="D309:G309"/>
    <mergeCell ref="H309:J309"/>
    <mergeCell ref="K309:O309"/>
    <mergeCell ref="P309:Y309"/>
    <mergeCell ref="AH309:AL309"/>
    <mergeCell ref="AM309:AP309"/>
    <mergeCell ref="AH307:AL307"/>
    <mergeCell ref="AM307:AP307"/>
    <mergeCell ref="A308:C308"/>
    <mergeCell ref="D308:G308"/>
    <mergeCell ref="H308:J308"/>
    <mergeCell ref="K308:O308"/>
    <mergeCell ref="P308:Y308"/>
    <mergeCell ref="AH308:AL308"/>
    <mergeCell ref="AD309:AG309"/>
    <mergeCell ref="Z309:AC309"/>
    <mergeCell ref="AD308:AG308"/>
    <mergeCell ref="Z308:AC308"/>
    <mergeCell ref="AD307:AG307"/>
    <mergeCell ref="Z307:AC307"/>
    <mergeCell ref="A307:C307"/>
    <mergeCell ref="D307:G307"/>
    <mergeCell ref="H307:J307"/>
    <mergeCell ref="K307:O307"/>
    <mergeCell ref="P307:Y307"/>
    <mergeCell ref="AI318:AL318"/>
    <mergeCell ref="AM318:AP318"/>
    <mergeCell ref="A319:C319"/>
    <mergeCell ref="D319:K319"/>
    <mergeCell ref="L319:T319"/>
    <mergeCell ref="U319:X319"/>
    <mergeCell ref="AD319:AH319"/>
    <mergeCell ref="AI319:AL319"/>
    <mergeCell ref="AM319:AP319"/>
    <mergeCell ref="A318:C318"/>
    <mergeCell ref="D318:K318"/>
    <mergeCell ref="L318:T318"/>
    <mergeCell ref="U318:X318"/>
    <mergeCell ref="AD318:AH318"/>
    <mergeCell ref="A316:C317"/>
    <mergeCell ref="D316:K317"/>
    <mergeCell ref="L316:T317"/>
    <mergeCell ref="U316:X317"/>
    <mergeCell ref="Y316:AL316"/>
    <mergeCell ref="AM316:AP317"/>
    <mergeCell ref="AD317:AH317"/>
    <mergeCell ref="AI317:AL317"/>
    <mergeCell ref="Y319:AC319"/>
    <mergeCell ref="Y318:AC318"/>
    <mergeCell ref="Y317:AC317"/>
    <mergeCell ref="AK325:AP325"/>
    <mergeCell ref="AF324:AJ324"/>
    <mergeCell ref="A325:C325"/>
    <mergeCell ref="D325:I325"/>
    <mergeCell ref="J325:N325"/>
    <mergeCell ref="O325:R325"/>
    <mergeCell ref="S325:Z325"/>
    <mergeCell ref="AA325:AE325"/>
    <mergeCell ref="AF325:AJ325"/>
    <mergeCell ref="AI320:AL320"/>
    <mergeCell ref="AM320:AP320"/>
    <mergeCell ref="A323:C324"/>
    <mergeCell ref="D323:I324"/>
    <mergeCell ref="J323:N324"/>
    <mergeCell ref="O323:R324"/>
    <mergeCell ref="S323:Z324"/>
    <mergeCell ref="AA323:AJ323"/>
    <mergeCell ref="AA324:AE324"/>
    <mergeCell ref="A320:C320"/>
    <mergeCell ref="D320:K320"/>
    <mergeCell ref="L320:T320"/>
    <mergeCell ref="U320:X320"/>
    <mergeCell ref="AD320:AH320"/>
    <mergeCell ref="Y320:AC320"/>
    <mergeCell ref="AK323:AP324"/>
    <mergeCell ref="AF327:AJ327"/>
    <mergeCell ref="A331:AP331"/>
    <mergeCell ref="A332:AP332"/>
    <mergeCell ref="A327:C327"/>
    <mergeCell ref="D327:I327"/>
    <mergeCell ref="J327:N327"/>
    <mergeCell ref="O327:R327"/>
    <mergeCell ref="S327:Z327"/>
    <mergeCell ref="AA327:AE327"/>
    <mergeCell ref="A326:C326"/>
    <mergeCell ref="D326:I326"/>
    <mergeCell ref="J326:N326"/>
    <mergeCell ref="O326:R326"/>
    <mergeCell ref="S326:Z326"/>
    <mergeCell ref="AA326:AE326"/>
    <mergeCell ref="AF326:AJ326"/>
    <mergeCell ref="AK327:AP327"/>
    <mergeCell ref="AK326:AP326"/>
  </mergeCells>
  <phoneticPr fontId="4" type="noConversion"/>
  <printOptions horizontalCentered="1"/>
  <pageMargins left="0.31496062992125984" right="0.27559055118110237" top="0.51181102362204722" bottom="0.15748031496062992" header="0.31496062992125984" footer="0.23622047244094491"/>
  <pageSetup paperSize="9" scale="73" orientation="portrait" r:id="rId1"/>
  <rowBreaks count="8" manualBreakCount="8">
    <brk id="50" max="41" man="1"/>
    <brk id="106" max="41" man="1"/>
    <brk id="168" max="41" man="1"/>
    <brk id="186" max="41" man="1"/>
    <brk id="199" max="41" man="1"/>
    <brk id="217" max="41" man="1"/>
    <brk id="242" max="41" man="1"/>
    <brk id="294" max="41"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안내문</vt:lpstr>
      <vt:lpstr>2023년 소득공제신고서</vt:lpstr>
      <vt:lpstr>'2023년 소득공제신고서'!Print_Area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신동환</dc:creator>
  <cp:lastModifiedBy>somi_kim</cp:lastModifiedBy>
  <cp:lastPrinted>2024-01-16T02:28:31Z</cp:lastPrinted>
  <dcterms:created xsi:type="dcterms:W3CDTF">2023-01-10T06:57:45Z</dcterms:created>
  <dcterms:modified xsi:type="dcterms:W3CDTF">2024-01-26T04:20:48Z</dcterms:modified>
</cp:coreProperties>
</file>